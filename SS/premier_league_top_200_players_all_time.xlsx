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ven.Argile\Documents\fifa-5aside-game\"/>
    </mc:Choice>
  </mc:AlternateContent>
  <xr:revisionPtr revIDLastSave="0" documentId="8_{D1AD9C8B-0B55-42D3-9642-50DBC1913C4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ummary" sheetId="1" r:id="rId1"/>
    <sheet name="Top 200" sheetId="2" r:id="rId2"/>
    <sheet name="Methodology" sheetId="3" r:id="rId3"/>
    <sheet name="Source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B3" i="1"/>
  <c r="B7" i="1" l="1"/>
  <c r="B5" i="1"/>
  <c r="B6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I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Overall Rating is calculated from Prime Score (55%), Legacy Score (30%) and Longevity Score (15%). See Methodology sheet.</t>
        </r>
      </text>
    </comment>
  </commentList>
</comments>
</file>

<file path=xl/sharedStrings.xml><?xml version="1.0" encoding="utf-8"?>
<sst xmlns="http://schemas.openxmlformats.org/spreadsheetml/2006/main" count="1055" uniqueCount="771">
  <si>
    <t>Premier League Top 200 Summary</t>
  </si>
  <si>
    <t>Metric</t>
  </si>
  <si>
    <t>Value</t>
  </si>
  <si>
    <t>Top 20 Players</t>
  </si>
  <si>
    <t>Rating</t>
  </si>
  <si>
    <t>Number of players</t>
  </si>
  <si>
    <t>Average overall rating</t>
  </si>
  <si>
    <t>Top rated player</t>
  </si>
  <si>
    <t>Highest rating</t>
  </si>
  <si>
    <t>Players rated 90+</t>
  </si>
  <si>
    <t>Rank</t>
  </si>
  <si>
    <t>Player</t>
  </si>
  <si>
    <t>Primary Position</t>
  </si>
  <si>
    <t>Main Premier League Club(s)</t>
  </si>
  <si>
    <t>Premier League Era</t>
  </si>
  <si>
    <t>Prime Score</t>
  </si>
  <si>
    <t>Legacy Score</t>
  </si>
  <si>
    <t>Longevity Score</t>
  </si>
  <si>
    <t>Overall Rating</t>
  </si>
  <si>
    <t>Short rationale</t>
  </si>
  <si>
    <t>Thierry Henry</t>
  </si>
  <si>
    <t>ST/LW</t>
  </si>
  <si>
    <t>Arsenal</t>
  </si>
  <si>
    <t>1999-2007, 2012</t>
  </si>
  <si>
    <t>Peak-level all-round forward: goals, assists, aura and Invincibles legacy.</t>
  </si>
  <si>
    <t>Alan Shearer</t>
  </si>
  <si>
    <t>ST</t>
  </si>
  <si>
    <t>Blackburn Rovers, Newcastle United</t>
  </si>
  <si>
    <t>1992-2006</t>
  </si>
  <si>
    <t>Premier League benchmark goalscorer and title winner with Blackburn.</t>
  </si>
  <si>
    <t>Mohamed Salah</t>
  </si>
  <si>
    <t>RW</t>
  </si>
  <si>
    <t>Liverpool</t>
  </si>
  <si>
    <t>2017-present</t>
  </si>
  <si>
    <t>Record-breaking wide forward with elite output, consistency and title-winning legacy.</t>
  </si>
  <si>
    <t>Steven Gerrard</t>
  </si>
  <si>
    <t>CM/AM</t>
  </si>
  <si>
    <t>1998-2015</t>
  </si>
  <si>
    <t>Complete talismanic midfielder with iconic peak and extraordinary influence.</t>
  </si>
  <si>
    <t>Wayne Rooney</t>
  </si>
  <si>
    <t>ST/SS/AM</t>
  </si>
  <si>
    <t>Everton, Manchester United</t>
  </si>
  <si>
    <t>2002-2018</t>
  </si>
  <si>
    <t>Teenage phenomenon turned complete forward and all-time great league contributor.</t>
  </si>
  <si>
    <t>Frank Lampard</t>
  </si>
  <si>
    <t>CM</t>
  </si>
  <si>
    <t>West Ham United, Chelsea, Manchester City</t>
  </si>
  <si>
    <t>1995-2015</t>
  </si>
  <si>
    <t>Unmatched goalscoring midfielder with huge longevity and Chelsea dynasty legacy.</t>
  </si>
  <si>
    <t>Cristiano Ronaldo</t>
  </si>
  <si>
    <t>RW/LW/ST</t>
  </si>
  <si>
    <t>Manchester United</t>
  </si>
  <si>
    <t>2003-2009, 2021-2022</t>
  </si>
  <si>
    <t>Devastating 2006-09 prime, Ballon d Or-level peak and global superstar status.</t>
  </si>
  <si>
    <t>Kevin De Bruyne</t>
  </si>
  <si>
    <t>Manchester City</t>
  </si>
  <si>
    <t>2015-present</t>
  </si>
  <si>
    <t>Premier League-defining creator in Guardiola-era City, with longevity at elite level.</t>
  </si>
  <si>
    <t>Roy Keane</t>
  </si>
  <si>
    <t>Nottingham Forest, Manchester United</t>
  </si>
  <si>
    <t>1992-2005</t>
  </si>
  <si>
    <t>Dominant leader and competitive heartbeat of Manchester United supremacy.</t>
  </si>
  <si>
    <t>Sergio Aguero</t>
  </si>
  <si>
    <t>2011-2021</t>
  </si>
  <si>
    <t>Elite finisher, iconic title moment and long spell as City talisman.</t>
  </si>
  <si>
    <t>Paul Scholes</t>
  </si>
  <si>
    <t>1994-2013</t>
  </si>
  <si>
    <t>Peer-revered midfield controller with elite technique and trophy legacy.</t>
  </si>
  <si>
    <t>John Terry</t>
  </si>
  <si>
    <t>CB</t>
  </si>
  <si>
    <t>Chelsea</t>
  </si>
  <si>
    <t>1998-2017</t>
  </si>
  <si>
    <t>Premier League era defensive leader and captain of elite Chelsea sides.</t>
  </si>
  <si>
    <t>Eric Cantona</t>
  </si>
  <si>
    <t>SS</t>
  </si>
  <si>
    <t>Leeds United, Manchester United</t>
  </si>
  <si>
    <t>1992-1997</t>
  </si>
  <si>
    <t>Transformational figure with enormous aura and a short but era-defining prime.</t>
  </si>
  <si>
    <t>Virgil van Dijk</t>
  </si>
  <si>
    <t>Southampton, Liverpool</t>
  </si>
  <si>
    <t>Monumental Liverpool peak, Champions League and Premier League title-era defender.</t>
  </si>
  <si>
    <t>Patrick Vieira</t>
  </si>
  <si>
    <t>Arsenal, Manchester City</t>
  </si>
  <si>
    <t>1996-2005, 2009-2011</t>
  </si>
  <si>
    <t>Prototype dominant Premier League midfielder and Invincibles captain.</t>
  </si>
  <si>
    <t>David Silva</t>
  </si>
  <si>
    <t>AM/CM</t>
  </si>
  <si>
    <t>2010-2020</t>
  </si>
  <si>
    <t>Supreme playmaker who shaped Citys possession era with sustained brilliance.</t>
  </si>
  <si>
    <t>Dennis Bergkamp</t>
  </si>
  <si>
    <t>SS/AM</t>
  </si>
  <si>
    <t>1995-2006</t>
  </si>
  <si>
    <t>Technically sublime forward and cultural pillar of Wengers Arsenal.</t>
  </si>
  <si>
    <t>Harry Kane</t>
  </si>
  <si>
    <t>Tottenham Hotspur</t>
  </si>
  <si>
    <t>2012-2023</t>
  </si>
  <si>
    <t>Complete striker/playmaker and one of the leagues greatest goalscorers.</t>
  </si>
  <si>
    <t>Rio Ferdinand</t>
  </si>
  <si>
    <t>West Ham, Leeds, Manchester United, QPR</t>
  </si>
  <si>
    <t>Ball-playing centre-back standard-setter with major title-winning pedigree.</t>
  </si>
  <si>
    <t>Petr Cech</t>
  </si>
  <si>
    <t>GK</t>
  </si>
  <si>
    <t>Chelsea, Arsenal</t>
  </si>
  <si>
    <t>2004-2019</t>
  </si>
  <si>
    <t>Clean-sheet standard-setter and key part of record-breaking Chelsea defence.</t>
  </si>
  <si>
    <t>Ryan Giggs</t>
  </si>
  <si>
    <t>LW/CM</t>
  </si>
  <si>
    <t>1992-2014</t>
  </si>
  <si>
    <t>Longevity king and creative pillar through multiple United eras.</t>
  </si>
  <si>
    <t>Eden Hazard</t>
  </si>
  <si>
    <t>LW</t>
  </si>
  <si>
    <t>2012-2019</t>
  </si>
  <si>
    <t>Premier League Player of the Season peak with dazzling match-winning ability.</t>
  </si>
  <si>
    <t>Peter Schmeichel</t>
  </si>
  <si>
    <t>Manchester United, Aston Villa, Manchester City</t>
  </si>
  <si>
    <t>1992-1999, 2001-2003</t>
  </si>
  <si>
    <t>Commanding goalkeeper and dominant figure in early Premier League United.</t>
  </si>
  <si>
    <t>Ashley Cole</t>
  </si>
  <si>
    <t>LB</t>
  </si>
  <si>
    <t>Arsenal, Chelsea</t>
  </si>
  <si>
    <t>1999-2014</t>
  </si>
  <si>
    <t>Arguably the Premier Leagues greatest left-back, elite in two title-winning clubs.</t>
  </si>
  <si>
    <t>Robin van Persie</t>
  </si>
  <si>
    <t>Arsenal, Manchester United</t>
  </si>
  <si>
    <t>2004-2015</t>
  </si>
  <si>
    <t>World-class striker peak and decisive title-winning season at United.</t>
  </si>
  <si>
    <t>N Golo Kante</t>
  </si>
  <si>
    <t>DM/CM</t>
  </si>
  <si>
    <t>Leicester City, Chelsea</t>
  </si>
  <si>
    <t>2015-2023</t>
  </si>
  <si>
    <t>Back-to-back title engine and elite ball-winning midfielder.</t>
  </si>
  <si>
    <t>Didier Drogba</t>
  </si>
  <si>
    <t>2004-2012, 2014-2015</t>
  </si>
  <si>
    <t>Big-game striker and focal point of Chelseas first Premier League dynasty.</t>
  </si>
  <si>
    <t>Cesc Fabregas</t>
  </si>
  <si>
    <t>2004-2011, 2014-2019</t>
  </si>
  <si>
    <t>Creative midfield prodigy and assist machine with titles at Chelsea.</t>
  </si>
  <si>
    <t>Sol Campbell</t>
  </si>
  <si>
    <t>Tottenham Hotspur, Arsenal, Portsmouth, Newcastle</t>
  </si>
  <si>
    <t>1992-2011</t>
  </si>
  <si>
    <t>Elite centre-back with longevity and Invincibles legacy.</t>
  </si>
  <si>
    <t>Rodri</t>
  </si>
  <si>
    <t>DM</t>
  </si>
  <si>
    <t>2019-present</t>
  </si>
  <si>
    <t>Premier control midfielder of modern Citys dominance with elite peak.</t>
  </si>
  <si>
    <t>Yaya Toure</t>
  </si>
  <si>
    <t>2010-2018</t>
  </si>
  <si>
    <t>Unstoppable midfield peak and central force in Citys rise.</t>
  </si>
  <si>
    <t>Nemanja Vidic</t>
  </si>
  <si>
    <t>2006-2014</t>
  </si>
  <si>
    <t>Dominant physical defender and serial title winner.</t>
  </si>
  <si>
    <t>Michael Owen</t>
  </si>
  <si>
    <t>Liverpool, Newcastle, Man United, Stoke</t>
  </si>
  <si>
    <t>1996-2013</t>
  </si>
  <si>
    <t>Explosive young goalscorer and Golden Boot-level Liverpool star.</t>
  </si>
  <si>
    <t>Vincent Kompany</t>
  </si>
  <si>
    <t>2008-2019</t>
  </si>
  <si>
    <t>Captain and defensive symbol of Manchester Citys modern era.</t>
  </si>
  <si>
    <t>Andrew Cole</t>
  </si>
  <si>
    <t>Newcastle, Manchester United and others</t>
  </si>
  <si>
    <t>1993-2008</t>
  </si>
  <si>
    <t>Prolific striker across eras and key United treble contributor.</t>
  </si>
  <si>
    <t>Luis Suarez</t>
  </si>
  <si>
    <t>2011-2014</t>
  </si>
  <si>
    <t>One of the highest single-player peaks in league history despite short stay.</t>
  </si>
  <si>
    <t>Ruud van Nistelrooy</t>
  </si>
  <si>
    <t>2001-2006</t>
  </si>
  <si>
    <t>Ruthless penalty-box striker with outstanding goals-per-game peak.</t>
  </si>
  <si>
    <t>Robert Pires</t>
  </si>
  <si>
    <t>LW/AM</t>
  </si>
  <si>
    <t>Arsenal, Aston Villa</t>
  </si>
  <si>
    <t>2000-2006, 2010-2011</t>
  </si>
  <si>
    <t>Elegant, productive midfielder in Arsenals greatest attacking sides.</t>
  </si>
  <si>
    <t>Alisson Becker</t>
  </si>
  <si>
    <t>2018-present</t>
  </si>
  <si>
    <t>Modern elite goalkeeper and game-changing presence in Liverpool success.</t>
  </si>
  <si>
    <t>Sadio Mane</t>
  </si>
  <si>
    <t>LW/RW</t>
  </si>
  <si>
    <t>2014-2022</t>
  </si>
  <si>
    <t>Explosive forward and key act in Liverpools title-winning front three.</t>
  </si>
  <si>
    <t>Son Heung-min</t>
  </si>
  <si>
    <t>LW/ST</t>
  </si>
  <si>
    <t>Consistent elite forward, Golden Boot winner and Spurs icon.</t>
  </si>
  <si>
    <t>David Beckham</t>
  </si>
  <si>
    <t>RM</t>
  </si>
  <si>
    <t>1995-2003</t>
  </si>
  <si>
    <t>Crossing and set-piece icon within Uniteds treble-era machine.</t>
  </si>
  <si>
    <t>Tony Adams</t>
  </si>
  <si>
    <t>1992-2002</t>
  </si>
  <si>
    <t>Leadership and defensive excellence bridging old Arsenal into Wenger era.</t>
  </si>
  <si>
    <t>David Seaman</t>
  </si>
  <si>
    <t>1992-2004</t>
  </si>
  <si>
    <t>Reliable elite keeper through Arsenals early Premier League titles.</t>
  </si>
  <si>
    <t>Gareth Bale</t>
  </si>
  <si>
    <t>2007-2013, 2020-2021</t>
  </si>
  <si>
    <t>Electric individual peak at Spurs, including Player of the Season dominance.</t>
  </si>
  <si>
    <t>Riyad Mahrez</t>
  </si>
  <si>
    <t>Leicester City, Manchester City</t>
  </si>
  <si>
    <t>2014-2023</t>
  </si>
  <si>
    <t>Leicester miracle creator and high-class City winger.</t>
  </si>
  <si>
    <t>Carlos Tevez</t>
  </si>
  <si>
    <t>ST/SS</t>
  </si>
  <si>
    <t>West Ham, Manchester United, Manchester City</t>
  </si>
  <si>
    <t>2006-2013</t>
  </si>
  <si>
    <t>Relentless forward with major impact at three clubs.</t>
  </si>
  <si>
    <t>Robbie Fowler</t>
  </si>
  <si>
    <t>Liverpool, Leeds, Man City, Blackburn</t>
  </si>
  <si>
    <t>1993-2009</t>
  </si>
  <si>
    <t>Instinctive Liverpool goalscorer with devastating early peak.</t>
  </si>
  <si>
    <t>Ian Wright</t>
  </si>
  <si>
    <t>Arsenal, West Ham United</t>
  </si>
  <si>
    <t>1992-2000</t>
  </si>
  <si>
    <t>Arsenal icon and prolific early Premier League goalscorer.</t>
  </si>
  <si>
    <t>Jamie Vardy</t>
  </si>
  <si>
    <t>Leicester City</t>
  </si>
  <si>
    <t>2014-present</t>
  </si>
  <si>
    <t>Late-blooming icon and title-winning striker with huge Leicester legacy.</t>
  </si>
  <si>
    <t>Dwight Yorke</t>
  </si>
  <si>
    <t>Aston Villa, Manchester United and others</t>
  </si>
  <si>
    <t>1992-2009</t>
  </si>
  <si>
    <t>Treble-winning striker with excellent Villa and United prime.</t>
  </si>
  <si>
    <t>Edwin van der Sar</t>
  </si>
  <si>
    <t>Fulham, Manchester United</t>
  </si>
  <si>
    <t>2001-2011</t>
  </si>
  <si>
    <t>Elite modern goalkeeper and key United defensive anchor.</t>
  </si>
  <si>
    <t>Jamie Carragher</t>
  </si>
  <si>
    <t>Durable Liverpool defensive leader with huge appearance longevity.</t>
  </si>
  <si>
    <t>Gary Neville</t>
  </si>
  <si>
    <t>RB</t>
  </si>
  <si>
    <t>One-club right-back and core member of Uniteds long title era.</t>
  </si>
  <si>
    <t>Michael Essien</t>
  </si>
  <si>
    <t>2005-2014</t>
  </si>
  <si>
    <t>Powerful all-action midfielder in dominant Chelsea sides.</t>
  </si>
  <si>
    <t>David de Gea</t>
  </si>
  <si>
    <t>2011-2023</t>
  </si>
  <si>
    <t>Outstanding shot-stopping peak and long United service.</t>
  </si>
  <si>
    <t>Claude Makelele</t>
  </si>
  <si>
    <t>2003-2008</t>
  </si>
  <si>
    <t>Defined a defensive midfield role during Chelseas mid-2000s dominance.</t>
  </si>
  <si>
    <t>Mesut Ozil</t>
  </si>
  <si>
    <t>AM</t>
  </si>
  <si>
    <t>2013-2021</t>
  </si>
  <si>
    <t>World-class creator with brilliant assist peak at Arsenal.</t>
  </si>
  <si>
    <t>Matt Le Tissier</t>
  </si>
  <si>
    <t>AM/SS</t>
  </si>
  <si>
    <t>Southampton</t>
  </si>
  <si>
    <t>One-club genius with outrageous technique and cult status.</t>
  </si>
  <si>
    <t>Jimmy Floyd Hasselbaink</t>
  </si>
  <si>
    <t>Leeds, Chelsea, Middlesbrough, Charlton</t>
  </si>
  <si>
    <t>1997-2007</t>
  </si>
  <si>
    <t>Explosive scorer and Golden Boot winner.</t>
  </si>
  <si>
    <t>Bruno Fernandes</t>
  </si>
  <si>
    <t>2020-present</t>
  </si>
  <si>
    <t>High-output attacking midfielder and central United figure.</t>
  </si>
  <si>
    <t>Dimitar Berbatov</t>
  </si>
  <si>
    <t>Tottenham, Manchester United, Fulham</t>
  </si>
  <si>
    <t>Magical touch and elite scoring peak, including Golden Boot season.</t>
  </si>
  <si>
    <t>Bernardo Silva</t>
  </si>
  <si>
    <t>CM/RW</t>
  </si>
  <si>
    <t>Press-resistant technician and vital Guardiola-era chess piece.</t>
  </si>
  <si>
    <t>Trent Alexander-Arnold</t>
  </si>
  <si>
    <t>RB/CM</t>
  </si>
  <si>
    <t>2016-present</t>
  </si>
  <si>
    <t>Playmaking full-back who changed expectations for the position.</t>
  </si>
  <si>
    <t>Pepe Reina</t>
  </si>
  <si>
    <t>Liverpool, Aston Villa</t>
  </si>
  <si>
    <t>2005-2014, 2020</t>
  </si>
  <si>
    <t>Excellent distribution and shot-stopping, with strong clean-sheet record.</t>
  </si>
  <si>
    <t>Juan Mata</t>
  </si>
  <si>
    <t>AM/RW</t>
  </si>
  <si>
    <t>Chelsea, Manchester United</t>
  </si>
  <si>
    <t>2011-2022</t>
  </si>
  <si>
    <t>Elegant creator and Chelsea Player of the Year-level playmaker.</t>
  </si>
  <si>
    <t>Kyle Walker</t>
  </si>
  <si>
    <t>Tottenham Hotspur, Manchester City</t>
  </si>
  <si>
    <t>2009-present</t>
  </si>
  <si>
    <t>Elite athletic full-back with major title-winning longevity.</t>
  </si>
  <si>
    <t>Marcus Rashford</t>
  </si>
  <si>
    <t>Major United contributor with strong peaks and longevity.</t>
  </si>
  <si>
    <t>Joe Hart</t>
  </si>
  <si>
    <t>Manchester City, Birmingham, West Ham, Burnley, Tottenham</t>
  </si>
  <si>
    <t>2009-2021</t>
  </si>
  <si>
    <t>Title-winning City goalkeeper and multiple Golden Glove winner.</t>
  </si>
  <si>
    <t>Raheem Sterling</t>
  </si>
  <si>
    <t>RW/LW</t>
  </si>
  <si>
    <t>Liverpool, Manchester City, Chelsea</t>
  </si>
  <si>
    <t>2012-present</t>
  </si>
  <si>
    <t>High-output winger and major figure in Citys dominant period.</t>
  </si>
  <si>
    <t>Jermain Defoe</t>
  </si>
  <si>
    <t>West Ham, Tottenham, Sunderland, Bournemouth</t>
  </si>
  <si>
    <t>2001-2019</t>
  </si>
  <si>
    <t>Natural finisher with exceptional scoring longevity.</t>
  </si>
  <si>
    <t>Teddy Sheringham</t>
  </si>
  <si>
    <t>Tottenham, Manchester United, Portsmouth, West Ham</t>
  </si>
  <si>
    <t>1992-2007</t>
  </si>
  <si>
    <t>Intelligent forward with title legacy and remarkable longevity.</t>
  </si>
  <si>
    <t>Gary Speed</t>
  </si>
  <si>
    <t>CM/LM</t>
  </si>
  <si>
    <t>Leeds, Everton, Newcastle, Bolton</t>
  </si>
  <si>
    <t>1992-2010</t>
  </si>
  <si>
    <t>Model professional with huge longevity and high-level consistency.</t>
  </si>
  <si>
    <t>Gareth Barry</t>
  </si>
  <si>
    <t>CM/DM</t>
  </si>
  <si>
    <t>Aston Villa, Man City, Everton, West Brom</t>
  </si>
  <si>
    <t>1997-2018</t>
  </si>
  <si>
    <t>Appearance record-holder-level longevity and title-winning midfielder.</t>
  </si>
  <si>
    <t>James Milner</t>
  </si>
  <si>
    <t>CM/FB/W</t>
  </si>
  <si>
    <t>Leeds, Newcastle, Aston Villa, Man City, Liverpool, Brighton</t>
  </si>
  <si>
    <t>2002-present</t>
  </si>
  <si>
    <t>Ultimate Premier League longevity player with trophies and versatility.</t>
  </si>
  <si>
    <t>Fernando Torres</t>
  </si>
  <si>
    <t>Liverpool, Chelsea</t>
  </si>
  <si>
    <t>2007-2014</t>
  </si>
  <si>
    <t>Electrifying Liverpool peak, one of the leagues scariest forwards.</t>
  </si>
  <si>
    <t>Alexis Sanchez</t>
  </si>
  <si>
    <t>2014-2020</t>
  </si>
  <si>
    <t>Devastating Arsenal peak with relentless end product.</t>
  </si>
  <si>
    <t>David Ginola</t>
  </si>
  <si>
    <t>Newcastle, Tottenham, Aston Villa, Everton</t>
  </si>
  <si>
    <t>1995-2002</t>
  </si>
  <si>
    <t>Maverick winger with Player of the Year-level magic.</t>
  </si>
  <si>
    <t>Luka Modric</t>
  </si>
  <si>
    <t>2008-2012</t>
  </si>
  <si>
    <t>Elite midfield controller whose Premier League quality was obvious before Madrid.</t>
  </si>
  <si>
    <t>Juninho Paulista</t>
  </si>
  <si>
    <t>Middlesbrough</t>
  </si>
  <si>
    <t>1995-1997, 1999-2000, 2002-2004</t>
  </si>
  <si>
    <t>Cult genius and one of the leagues most beloved creative imports.</t>
  </si>
  <si>
    <t>Xabi Alonso</t>
  </si>
  <si>
    <t>2004-2009</t>
  </si>
  <si>
    <t>Classy deep playmaker and key Liverpool midfielder.</t>
  </si>
  <si>
    <t>Marcel Desailly</t>
  </si>
  <si>
    <t>1998-2004</t>
  </si>
  <si>
    <t>World-class centre-back aura in early Abramovich-era Chelsea.</t>
  </si>
  <si>
    <t>Coutinho</t>
  </si>
  <si>
    <t>AM/LW</t>
  </si>
  <si>
    <t>2013-2018, 2022-2024</t>
  </si>
  <si>
    <t>Premier creative star at Liverpool with memorable goals and flair.</t>
  </si>
  <si>
    <t>Ricardo Carvalho</t>
  </si>
  <si>
    <t>2004-2010</t>
  </si>
  <si>
    <t>Elegant, intelligent defender in Chelseas best defensive years.</t>
  </si>
  <si>
    <t>Andy Robertson</t>
  </si>
  <si>
    <t>Hull City, Liverpool</t>
  </si>
  <si>
    <t>Elite high-energy full-back and Liverpool title-era mainstay.</t>
  </si>
  <si>
    <t>Les Ferdinand</t>
  </si>
  <si>
    <t>QPR, Newcastle, Tottenham, West Ham, Leicester, Bolton</t>
  </si>
  <si>
    <t>Powerful, prolific centre-forward with strong longevity.</t>
  </si>
  <si>
    <t>Nicolas Anelka</t>
  </si>
  <si>
    <t>Arsenal, Liverpool, Man City, Bolton, Chelsea, West Brom</t>
  </si>
  <si>
    <t>1997-2014</t>
  </si>
  <si>
    <t>Classy, mobile striker with Golden Boot peak and long career.</t>
  </si>
  <si>
    <t>Cesar Azpilicueta</t>
  </si>
  <si>
    <t>RB/CB</t>
  </si>
  <si>
    <t>Defensive consistency, versatility and Chelsea captaincy legacy.</t>
  </si>
  <si>
    <t>Denis Irwin</t>
  </si>
  <si>
    <t>LB/RB</t>
  </si>
  <si>
    <t>Manchester United, Wolves</t>
  </si>
  <si>
    <t>Consistent two-footed full-back and serial winner.</t>
  </si>
  <si>
    <t>Gianfranco Zola</t>
  </si>
  <si>
    <t>1996-2003</t>
  </si>
  <si>
    <t>Magical Chelsea forward with enormous legacy despite shorter PL stay.</t>
  </si>
  <si>
    <t>Ledley King</t>
  </si>
  <si>
    <t>1999-2012</t>
  </si>
  <si>
    <t>Outstanding defender when fit, limited by injuries.</t>
  </si>
  <si>
    <t>Kevin Phillips</t>
  </si>
  <si>
    <t>Sunderland, Southampton, Aston Villa, Birmingham, Crystal Palace</t>
  </si>
  <si>
    <t>Golden Boot-winning peak and huge cult status.</t>
  </si>
  <si>
    <t>Steve McManaman</t>
  </si>
  <si>
    <t>Liverpool, Manchester City</t>
  </si>
  <si>
    <t>1992-1999, 2003-2005</t>
  </si>
  <si>
    <t>Electric Liverpool creator and iconic 90s Premier League winger.</t>
  </si>
  <si>
    <t>Paolo Di Canio</t>
  </si>
  <si>
    <t>FW</t>
  </si>
  <si>
    <t>Sheffield Wednesday, West Ham, Charlton</t>
  </si>
  <si>
    <t>1997-2004</t>
  </si>
  <si>
    <t>Mercurial genius and iconic Premier League entertainer.</t>
  </si>
  <si>
    <t>Emmanuel Adebayor</t>
  </si>
  <si>
    <t>Arsenal, Man City, Tottenham, Crystal Palace</t>
  </si>
  <si>
    <t>2006-2016</t>
  </si>
  <si>
    <t>Physically dominant striker with excellent Arsenal peak.</t>
  </si>
  <si>
    <t>Branislav Ivanovic</t>
  </si>
  <si>
    <t>2008-2017</t>
  </si>
  <si>
    <t>Powerful defender, big-game goal threat and Chelsea stalwart.</t>
  </si>
  <si>
    <t>Laurent Koscielny</t>
  </si>
  <si>
    <t>2010-2019</t>
  </si>
  <si>
    <t>Consistently excellent Arsenal defender with strong peak.</t>
  </si>
  <si>
    <t>Chris Sutton</t>
  </si>
  <si>
    <t>Norwich, Blackburn, Chelsea, Birmingham, Aston Villa</t>
  </si>
  <si>
    <t>Blackburn title-winning striker and strong all-round forward.</t>
  </si>
  <si>
    <t>Ilkay Gundogan</t>
  </si>
  <si>
    <t>2016-2023, 2024-present</t>
  </si>
  <si>
    <t>Intelligent midfielder and crucial title-run goalscorer.</t>
  </si>
  <si>
    <t>Christian Eriksen</t>
  </si>
  <si>
    <t>Tottenham, Brentford, Manchester United</t>
  </si>
  <si>
    <t>2013-present</t>
  </si>
  <si>
    <t>Creative technician with strong longevity and Spurs legacy.</t>
  </si>
  <si>
    <t>Yakubu</t>
  </si>
  <si>
    <t>Portsmouth, Middlesbrough, Everton, Blackburn</t>
  </si>
  <si>
    <t>2003-2012</t>
  </si>
  <si>
    <t>Reliable Premier League goalscorer across several clubs.</t>
  </si>
  <si>
    <t>Steve Bruce</t>
  </si>
  <si>
    <t>1992-1996</t>
  </si>
  <si>
    <t>Early Premier League title-winning defensive leader.</t>
  </si>
  <si>
    <t>Gary Pallister</t>
  </si>
  <si>
    <t>Manchester United, Middlesbrough</t>
  </si>
  <si>
    <t>1992-2001</t>
  </si>
  <si>
    <t>Composed defender and key part of early United success.</t>
  </si>
  <si>
    <t>Fernandinho</t>
  </si>
  <si>
    <t>2013-2022</t>
  </si>
  <si>
    <t>City midfield enforcer and tactical foundation of Pep era.</t>
  </si>
  <si>
    <t>Patrice Evra</t>
  </si>
  <si>
    <t>Manchester United, West Ham</t>
  </si>
  <si>
    <t>2006-2018</t>
  </si>
  <si>
    <t>Dynamic title-winning United left-back.</t>
  </si>
  <si>
    <t>Robbie Keane</t>
  </si>
  <si>
    <t>Coventry, Leeds, Tottenham, Liverpool, West Ham, Aston Villa</t>
  </si>
  <si>
    <t>Creative striker with consistency across multiple clubs.</t>
  </si>
  <si>
    <t>Michael Carrick</t>
  </si>
  <si>
    <t>West Ham, Tottenham, Manchester United</t>
  </si>
  <si>
    <t>1999-2018</t>
  </si>
  <si>
    <t>Underrated controller and major United title-era midfielder.</t>
  </si>
  <si>
    <t>Jaap Stam</t>
  </si>
  <si>
    <t>1998-2001</t>
  </si>
  <si>
    <t>Short but dominant United centre-back prime.</t>
  </si>
  <si>
    <t>Diego Costa</t>
  </si>
  <si>
    <t>Chelsea, Wolves</t>
  </si>
  <si>
    <t>2014-2017, 2022-2023</t>
  </si>
  <si>
    <t>Ferocious title-winning Chelsea striker with high-impact short spell.</t>
  </si>
  <si>
    <t>Pierre-Emerick Aubameyang</t>
  </si>
  <si>
    <t>2018-2023</t>
  </si>
  <si>
    <t>Golden Boot-level Arsenal striker peak.</t>
  </si>
  <si>
    <t>Mousa Dembele</t>
  </si>
  <si>
    <t>Fulham, Tottenham Hotspur</t>
  </si>
  <si>
    <t>Press-resistant midfield powerhouse with exceptional ball-carrying.</t>
  </si>
  <si>
    <t>Mark Viduka</t>
  </si>
  <si>
    <t>Leeds, Middlesbrough, Newcastle</t>
  </si>
  <si>
    <t>2000-2009</t>
  </si>
  <si>
    <t>Technically excellent target-forward with high-level peak.</t>
  </si>
  <si>
    <t>Peter Beardsley</t>
  </si>
  <si>
    <t>Everton, Newcastle, Bolton</t>
  </si>
  <si>
    <t>1992-1998</t>
  </si>
  <si>
    <t>Beautifully intelligent creator in early Premier League years.</t>
  </si>
  <si>
    <t>Ole Gunnar Solskjaer</t>
  </si>
  <si>
    <t>1996-2007</t>
  </si>
  <si>
    <t>Legendary impact substitute and reliable United goalscorer.</t>
  </si>
  <si>
    <t>Ederson</t>
  </si>
  <si>
    <t>Distribution-redefining goalkeeper in dominant City sides.</t>
  </si>
  <si>
    <t>Paul Ince</t>
  </si>
  <si>
    <t>Manchester United, Liverpool, Middlesbrough, Wolves</t>
  </si>
  <si>
    <t>Powerful midfielder and early Premier League title winner.</t>
  </si>
  <si>
    <t>Dion Dublin</t>
  </si>
  <si>
    <t>ST/CB</t>
  </si>
  <si>
    <t>Man United, Coventry, Aston Villa, Leicester, Norwich</t>
  </si>
  <si>
    <t>1992-2008</t>
  </si>
  <si>
    <t>Golden Boot-level forward with versatility and longevity.</t>
  </si>
  <si>
    <t>Romelu Lukaku</t>
  </si>
  <si>
    <t>Chelsea, West Brom, Everton, Manchester United</t>
  </si>
  <si>
    <t>2011-2019, 2021-2022</t>
  </si>
  <si>
    <t>Powerful scorer with excellent Everton peak and strong goal record.</t>
  </si>
  <si>
    <t>Joe Cole</t>
  </si>
  <si>
    <t>West Ham, Chelsea, Liverpool, Aston Villa</t>
  </si>
  <si>
    <t>Gifted creator and important Chelsea title-era attacker.</t>
  </si>
  <si>
    <t>Damien Duff</t>
  </si>
  <si>
    <t>Blackburn, Chelsea, Newcastle, Fulham</t>
  </si>
  <si>
    <t>1996-2014</t>
  </si>
  <si>
    <t>Brilliant winger at Blackburn/Chelsea with title-winning role.</t>
  </si>
  <si>
    <t>Leighton Baines</t>
  </si>
  <si>
    <t>Wigan Athletic, Everton</t>
  </si>
  <si>
    <t>2005-2020</t>
  </si>
  <si>
    <t>Outstanding attacking left-back and set-piece specialist.</t>
  </si>
  <si>
    <t>Shay Given</t>
  </si>
  <si>
    <t>Blackburn, Newcastle, Manchester City, Aston Villa, Stoke</t>
  </si>
  <si>
    <t>1996-2017</t>
  </si>
  <si>
    <t>Premier League goalkeeping stalwart with huge save-making longevity.</t>
  </si>
  <si>
    <t>Jordan Henderson</t>
  </si>
  <si>
    <t>Sunderland, Liverpool</t>
  </si>
  <si>
    <t>2008-2023</t>
  </si>
  <si>
    <t>Liverpool title-winning captain with outstanding leadership.</t>
  </si>
  <si>
    <t>Phil Foden</t>
  </si>
  <si>
    <t>Homegrown City star with Player of the Season-level peak.</t>
  </si>
  <si>
    <t>Santi Cazorla</t>
  </si>
  <si>
    <t>2012-2018</t>
  </si>
  <si>
    <t>Two-footed creator with beloved Arsenal peak.</t>
  </si>
  <si>
    <t>Bukayo Saka</t>
  </si>
  <si>
    <t>Elite young winger and Arsenal cornerstone with high peak.</t>
  </si>
  <si>
    <t>Emmanuel Petit</t>
  </si>
  <si>
    <t>Elegant and combative Arsenal double-winning midfielder.</t>
  </si>
  <si>
    <t>Gilberto Silva</t>
  </si>
  <si>
    <t>2002-2008</t>
  </si>
  <si>
    <t>Invisible Wall of the Invincibles and highly effective DM.</t>
  </si>
  <si>
    <t>Andrei Kanchelskis</t>
  </si>
  <si>
    <t>Manchester United, Everton, Man City, Southampton</t>
  </si>
  <si>
    <t>1992-2003</t>
  </si>
  <si>
    <t>Pacy winger and early United title-era star.</t>
  </si>
  <si>
    <t>Louis Saha</t>
  </si>
  <si>
    <t>Newcastle, Fulham, Manchester United, Everton, Tottenham, Sunderland</t>
  </si>
  <si>
    <t>1999-2013</t>
  </si>
  <si>
    <t>Mobile striker with strong Fulham and United spells.</t>
  </si>
  <si>
    <t>Gabriel Jesus</t>
  </si>
  <si>
    <t>ST/RW</t>
  </si>
  <si>
    <t>Manchester City, Arsenal</t>
  </si>
  <si>
    <t>High-class technical forward and serial title contributor.</t>
  </si>
  <si>
    <t>Declan Rice</t>
  </si>
  <si>
    <t>West Ham United, Arsenal</t>
  </si>
  <si>
    <t>Top-class defensive midfielder and trophy-winning West Ham captain.</t>
  </si>
  <si>
    <t>Kasper Schmeichel</t>
  </si>
  <si>
    <t>Goalkeeper of Leicester miracle and long-term club icon.</t>
  </si>
  <si>
    <t>Freddie Ljungberg</t>
  </si>
  <si>
    <t>RM/AM</t>
  </si>
  <si>
    <t>Arsenal, West Ham</t>
  </si>
  <si>
    <t>1998-2008</t>
  </si>
  <si>
    <t>Big-game Arsenal winger and Invincibles contributor.</t>
  </si>
  <si>
    <t>Jan Vertonghen</t>
  </si>
  <si>
    <t>CB/LB</t>
  </si>
  <si>
    <t>2012-2020</t>
  </si>
  <si>
    <t>Classy defender and long-serving Spurs mainstay.</t>
  </si>
  <si>
    <t>Aaron Ramsey</t>
  </si>
  <si>
    <t>Dynamic Arsenal midfielder with strong scoring peak.</t>
  </si>
  <si>
    <t>Duncan Ferguson</t>
  </si>
  <si>
    <t>Everton, Newcastle</t>
  </si>
  <si>
    <t>1994-2006</t>
  </si>
  <si>
    <t>Iconic target man and Everton cult legend.</t>
  </si>
  <si>
    <t>Pablo Zabaleta</t>
  </si>
  <si>
    <t>Manchester City, West Ham</t>
  </si>
  <si>
    <t>2008-2020</t>
  </si>
  <si>
    <t>Warrior-like right-back in Citys rise.</t>
  </si>
  <si>
    <t>Sami Hyypia</t>
  </si>
  <si>
    <t>1999-2009</t>
  </si>
  <si>
    <t>Commanding Liverpool centre-back with strong consistency.</t>
  </si>
  <si>
    <t>Antonio Valencia</t>
  </si>
  <si>
    <t>RW/RB</t>
  </si>
  <si>
    <t>Wigan Athletic, Manchester United</t>
  </si>
  <si>
    <t>2006-2019</t>
  </si>
  <si>
    <t>Powerful winger/right-back with long United service.</t>
  </si>
  <si>
    <t>Kolo Toure</t>
  </si>
  <si>
    <t>Arsenal, Manchester City, Liverpool</t>
  </si>
  <si>
    <t>2002-2016</t>
  </si>
  <si>
    <t>Athletic defender, Invincible and long-serving Premier League centre-back.</t>
  </si>
  <si>
    <t>Olivier Giroud</t>
  </si>
  <si>
    <t>2012-2021</t>
  </si>
  <si>
    <t>Excellent link striker with consistency and big-club legacy.</t>
  </si>
  <si>
    <t>William Gallas</t>
  </si>
  <si>
    <t>Chelsea, Arsenal, Tottenham</t>
  </si>
  <si>
    <t>2001-2013</t>
  </si>
  <si>
    <t>High-quality defender across three major London clubs.</t>
  </si>
  <si>
    <t>Nigel Martyn</t>
  </si>
  <si>
    <t>Crystal Palace, Leeds, Everton</t>
  </si>
  <si>
    <t>Reliable elite goalkeeper across Palace, Leeds and Everton.</t>
  </si>
  <si>
    <t>Hugo Lloris</t>
  </si>
  <si>
    <t>World Cup-winning captain with strong Spurs longevity.</t>
  </si>
  <si>
    <t>Lee Bowyer</t>
  </si>
  <si>
    <t>Leeds, Newcastle, West Ham, Birmingham</t>
  </si>
  <si>
    <t>1996-2012</t>
  </si>
  <si>
    <t>Dynamic midfielder with excellent Leeds peak.</t>
  </si>
  <si>
    <t>Wilfried Zaha</t>
  </si>
  <si>
    <t>Crystal Palace, Manchester United</t>
  </si>
  <si>
    <t>2013-2023</t>
  </si>
  <si>
    <t>Palace talisman and elite ball-carrier over many seasons.</t>
  </si>
  <si>
    <t>Martin Keown</t>
  </si>
  <si>
    <t>Arsenal, Aston Villa, Everton, Leicester</t>
  </si>
  <si>
    <t>Tough Arsenal defender and title-winning squad pillar.</t>
  </si>
  <si>
    <t>David Batty</t>
  </si>
  <si>
    <t>Leeds, Blackburn, Newcastle</t>
  </si>
  <si>
    <t>Tough, reliable defensive midfielder with title-winning Blackburn spell.</t>
  </si>
  <si>
    <t>Scott Parker</t>
  </si>
  <si>
    <t>Charlton, Chelsea, Newcastle, West Ham, Tottenham, Fulham</t>
  </si>
  <si>
    <t>1997-2017</t>
  </si>
  <si>
    <t>Combative midfielder with Player of the Year-level season.</t>
  </si>
  <si>
    <t>Brad Friedel</t>
  </si>
  <si>
    <t>Liverpool, Blackburn, Aston Villa, Tottenham</t>
  </si>
  <si>
    <t>1997-2015</t>
  </si>
  <si>
    <t>Exceptionally durable and consistent Premier League goalkeeper.</t>
  </si>
  <si>
    <t>David James</t>
  </si>
  <si>
    <t>Liverpool, Aston Villa, West Ham, Man City, Portsmouth</t>
  </si>
  <si>
    <t>Huge appearances, shot-stopping peaks and long career.</t>
  </si>
  <si>
    <t>Mark Schwarzer</t>
  </si>
  <si>
    <t>Middlesbrough, Fulham, Chelsea, Leicester</t>
  </si>
  <si>
    <t>1996-2016</t>
  </si>
  <si>
    <t>Long-serving, dependable Premier League goalkeeper.</t>
  </si>
  <si>
    <t>Arjen Robben</t>
  </si>
  <si>
    <t>2004-2007</t>
  </si>
  <si>
    <t>Electric Chelsea winger with high peak despite short Premier League spell.</t>
  </si>
  <si>
    <t>Dele Alli</t>
  </si>
  <si>
    <t>Tottenham Hotspur, Everton</t>
  </si>
  <si>
    <t>Brilliant early Spurs peak and huge goalscoring midfield threat.</t>
  </si>
  <si>
    <t>Faustino Asprilla</t>
  </si>
  <si>
    <t>Newcastle United</t>
  </si>
  <si>
    <t>1996-1998</t>
  </si>
  <si>
    <t>Flamboyant, thrilling forward with short but memorable impact.</t>
  </si>
  <si>
    <t>Ruben Dias</t>
  </si>
  <si>
    <t>Transformative City centre-back and title-winning defensive leader.</t>
  </si>
  <si>
    <t>Stan Collymore</t>
  </si>
  <si>
    <t>Nottingham Forest, Liverpool, Aston Villa, Bradford</t>
  </si>
  <si>
    <t>1994-2001</t>
  </si>
  <si>
    <t>Powerful striker with sensational Forest/Liverpool peaks.</t>
  </si>
  <si>
    <t>Michael Ballack</t>
  </si>
  <si>
    <t>2006-2010</t>
  </si>
  <si>
    <t>World-class midfielder with solid Chelsea contribution.</t>
  </si>
  <si>
    <t>Nani</t>
  </si>
  <si>
    <t>2007-2015</t>
  </si>
  <si>
    <t>Flair winger with strong peak and title-winning contributions.</t>
  </si>
  <si>
    <t>Toby Alderweireld</t>
  </si>
  <si>
    <t>Southampton, Tottenham Hotspur</t>
  </si>
  <si>
    <t>2014-2021</t>
  </si>
  <si>
    <t>Excellent passing centre-back and Spurs peak-era leader.</t>
  </si>
  <si>
    <t>Lucas Radebe</t>
  </si>
  <si>
    <t>Leeds United</t>
  </si>
  <si>
    <t>1994-2005</t>
  </si>
  <si>
    <t>Inspirational Leeds captain and cult defensive icon.</t>
  </si>
  <si>
    <t>Alan Smith</t>
  </si>
  <si>
    <t>ST/CM</t>
  </si>
  <si>
    <t>Leeds, Manchester United, Newcastle</t>
  </si>
  <si>
    <t>1998-2012</t>
  </si>
  <si>
    <t>Intense forward/midfielder with memorable Leeds and United spells.</t>
  </si>
  <si>
    <t>Mikel Arteta</t>
  </si>
  <si>
    <t>Everton, Arsenal</t>
  </si>
  <si>
    <t>2005-2016</t>
  </si>
  <si>
    <t>Excellent tempo-setter and leader at Everton and Arsenal.</t>
  </si>
  <si>
    <t>Michail Antonio</t>
  </si>
  <si>
    <t>West Ham United</t>
  </si>
  <si>
    <t>West Ham Premier League scorer and powerful late-career forward.</t>
  </si>
  <si>
    <t>Bacary Sagna</t>
  </si>
  <si>
    <t>2007-2017</t>
  </si>
  <si>
    <t>Consistently strong defensive full-back at top clubs.</t>
  </si>
  <si>
    <t>Gary Cahill</t>
  </si>
  <si>
    <t>Aston Villa, Bolton, Chelsea, Crystal Palace, Bournemouth</t>
  </si>
  <si>
    <t>2004-2022</t>
  </si>
  <si>
    <t>Reliable Chelsea title-winning defender with major longevity.</t>
  </si>
  <si>
    <t>Gareth Southgate</t>
  </si>
  <si>
    <t>Crystal Palace, Aston Villa, Middlesbrough</t>
  </si>
  <si>
    <t>Reliable defender and leader across long Premier League spell.</t>
  </si>
  <si>
    <t>Phil Jagielka</t>
  </si>
  <si>
    <t>Sheffield United, Everton</t>
  </si>
  <si>
    <t>2006-2022</t>
  </si>
  <si>
    <t>Consistent Everton centre-back and long-serving Premier League defender.</t>
  </si>
  <si>
    <t>Tim Howard</t>
  </si>
  <si>
    <t>Manchester United, Everton</t>
  </si>
  <si>
    <t>2003-2016</t>
  </si>
  <si>
    <t>Long-serving Everton keeper and strong shot-stopper.</t>
  </si>
  <si>
    <t>Robert Huth</t>
  </si>
  <si>
    <t>Chelsea, Middlesbrough, Stoke, Leicester</t>
  </si>
  <si>
    <t>2001-2018</t>
  </si>
  <si>
    <t>Rugged defender and rare title winner with two clubs.</t>
  </si>
  <si>
    <t>Marc Overmars</t>
  </si>
  <si>
    <t>1997-2000</t>
  </si>
  <si>
    <t>Blistering winger and crucial Arsenal double winner.</t>
  </si>
  <si>
    <t>Martin Odegaard</t>
  </si>
  <si>
    <t>2021-present</t>
  </si>
  <si>
    <t>Arsenal captain and high-level creative midfielder.</t>
  </si>
  <si>
    <t>Jonathan Woodgate</t>
  </si>
  <si>
    <t>Leeds, Newcastle, Tottenham, Stoke, Middlesbrough</t>
  </si>
  <si>
    <t>1998-2016</t>
  </si>
  <si>
    <t>Excellent defender when fit, with injuries limiting longevity.</t>
  </si>
  <si>
    <t>Ramires</t>
  </si>
  <si>
    <t>2010-2016</t>
  </si>
  <si>
    <t>High-energy Chelsea midfielder and big-match contributor.</t>
  </si>
  <si>
    <t>Jack Grealish</t>
  </si>
  <si>
    <t>Aston Villa, Manchester City</t>
  </si>
  <si>
    <t>Aston Villa talisman and City title-era contributor.</t>
  </si>
  <si>
    <t>Tomas Rosicky</t>
  </si>
  <si>
    <t>Stylish midfielder with high technical quality but injuries limited impact.</t>
  </si>
  <si>
    <t>Lauren</t>
  </si>
  <si>
    <t>2000-2007</t>
  </si>
  <si>
    <t>Reliable Invincibles right-back with strong defensive technique.</t>
  </si>
  <si>
    <t>Tim Cahill</t>
  </si>
  <si>
    <t>AM/ST</t>
  </si>
  <si>
    <t>Everton</t>
  </si>
  <si>
    <t>2004-2012</t>
  </si>
  <si>
    <t>Big-game Everton goalscoring midfielder and aerial specialist.</t>
  </si>
  <si>
    <t>Wes Morgan</t>
  </si>
  <si>
    <t>Captain of Leicesters extraordinary title-winning side.</t>
  </si>
  <si>
    <t>Joleon Lescott</t>
  </si>
  <si>
    <t>Everton, Manchester City, West Brom, Aston Villa, Sunderland</t>
  </si>
  <si>
    <t>2006-2017</t>
  </si>
  <si>
    <t>Strong defender and City title winner.</t>
  </si>
  <si>
    <t>Kevin Nolan</t>
  </si>
  <si>
    <t>Bolton, Newcastle, West Ham</t>
  </si>
  <si>
    <t>2001-2015</t>
  </si>
  <si>
    <t>Goalscoring midfielder and reliable captain figure.</t>
  </si>
  <si>
    <t>Harry Maguire</t>
  </si>
  <si>
    <t>Hull City, Leicester City, Manchester United</t>
  </si>
  <si>
    <t>Strong defender with notable Leicester and United spells.</t>
  </si>
  <si>
    <t>Jordan Pickford</t>
  </si>
  <si>
    <t>Sunderland, Everton</t>
  </si>
  <si>
    <t>Everton and England No.1 with strong shot-stopping reputation.</t>
  </si>
  <si>
    <t>Dimitri Payet</t>
  </si>
  <si>
    <t>2015-2017</t>
  </si>
  <si>
    <t>Sensational short West Ham peak and cult legacy.</t>
  </si>
  <si>
    <t>Cole Palmer</t>
  </si>
  <si>
    <t>Manchester City, Chelsea</t>
  </si>
  <si>
    <t>Explosive Chelsea peak with exceptional attacking output.</t>
  </si>
  <si>
    <t>Eberechi Eze</t>
  </si>
  <si>
    <t>Crystal Palace</t>
  </si>
  <si>
    <t>Elite flair creator and Palace talisman.</t>
  </si>
  <si>
    <t>Diogo Jota</t>
  </si>
  <si>
    <t>Wolves, Liverpool</t>
  </si>
  <si>
    <t>Clinical versatile forward at Wolves and Liverpool.</t>
  </si>
  <si>
    <t>Clint Dempsey</t>
  </si>
  <si>
    <t>AM/FW</t>
  </si>
  <si>
    <t>Premier League trailblazer for US players and Fulham star.</t>
  </si>
  <si>
    <t>James Maddison</t>
  </si>
  <si>
    <t>Norwich City, Leicester City, Tottenham Hotspur</t>
  </si>
  <si>
    <t>Creative attacking midfielder with sustained chance creation.</t>
  </si>
  <si>
    <t>Morten Gamst Pedersen</t>
  </si>
  <si>
    <t>LM</t>
  </si>
  <si>
    <t>Blackburn Rovers</t>
  </si>
  <si>
    <t>2004-2013</t>
  </si>
  <si>
    <t>Left-footed Blackburn creator with memorable long-range goals.</t>
  </si>
  <si>
    <t>Marouane Fellaini</t>
  </si>
  <si>
    <t>Distinctive physical midfielder with notable Everton peak.</t>
  </si>
  <si>
    <t>Bruno Guimaraes</t>
  </si>
  <si>
    <t>2022-present</t>
  </si>
  <si>
    <t>Newcastles elite modern midfield catalyst.</t>
  </si>
  <si>
    <t>Hatem Ben Arfa</t>
  </si>
  <si>
    <t>RW/AM</t>
  </si>
  <si>
    <t>Newcastle United, Hull City</t>
  </si>
  <si>
    <t>2010-2015</t>
  </si>
  <si>
    <t>Mercurial dribbler with memorable moments but limited consistency.</t>
  </si>
  <si>
    <t>Yohan Cabaye</t>
  </si>
  <si>
    <t>Newcastle United, Crystal Palace</t>
  </si>
  <si>
    <t>2011-2018</t>
  </si>
  <si>
    <t>Classy midfielder with excellent Newcastle peak.</t>
  </si>
  <si>
    <t>Nick Pope</t>
  </si>
  <si>
    <t>Burnley, Newcastle United</t>
  </si>
  <si>
    <t>Excellent traditional goalkeeper with high save and command profile.</t>
  </si>
  <si>
    <t>Richarlison</t>
  </si>
  <si>
    <t>Watford, Everton, Tottenham Hotspur</t>
  </si>
  <si>
    <t>Hard-working forward with strong Everton spell.</t>
  </si>
  <si>
    <t>Callum Wilson</t>
  </si>
  <si>
    <t>Bournemouth, Newcastle United</t>
  </si>
  <si>
    <t>Reliable Premier League goalscorer when fit.</t>
  </si>
  <si>
    <t>Luis Diaz</t>
  </si>
  <si>
    <t>High-energy Liverpool winger with strong impact.</t>
  </si>
  <si>
    <t>Raphinha</t>
  </si>
  <si>
    <t>2020-2022</t>
  </si>
  <si>
    <t>Electric Leeds winger with short but standout Premier League spell.</t>
  </si>
  <si>
    <t>Premier League Top 200 - Rating Methodology</t>
  </si>
  <si>
    <t>Category</t>
  </si>
  <si>
    <t>Description</t>
  </si>
  <si>
    <t>Scope</t>
  </si>
  <si>
    <t>Premier League era only (1992 onwards); players assessed mainly on Premier League performance, not full career.</t>
  </si>
  <si>
    <t>Prime Score (55%)</t>
  </si>
  <si>
    <t>How dominant the player was at their best in the Premier League.</t>
  </si>
  <si>
    <t>Legacy Score (30%)</t>
  </si>
  <si>
    <t>Titles, awards, iconic moments, influence, club/league legendary status and historical reputation.</t>
  </si>
  <si>
    <t>Longevity Score (15%)</t>
  </si>
  <si>
    <t>Sustained value, appearances, multi-season consistency and durability.</t>
  </si>
  <si>
    <t>Overall formula</t>
  </si>
  <si>
    <t>Important note</t>
  </si>
  <si>
    <t>This is intentionally subjective and tuned for football debate rather than a purely statistical model.</t>
  </si>
  <si>
    <t>Sources and reference points used</t>
  </si>
  <si>
    <t>Source</t>
  </si>
  <si>
    <t>What it was used for</t>
  </si>
  <si>
    <t>URL</t>
  </si>
  <si>
    <t>Notes</t>
  </si>
  <si>
    <t>Premier League official Hall of Fame</t>
  </si>
  <si>
    <t>Cross-checking legendary status and official league recognition</t>
  </si>
  <si>
    <t>https://www.premierleague.com/en/events/hall-of-fame/inductees</t>
  </si>
  <si>
    <t>Plain text URL for traceability.</t>
  </si>
  <si>
    <t>Premier League official all-time stats</t>
  </si>
  <si>
    <t>Cross-checking major all-time records for appearances, goals, assists and clean sheets</t>
  </si>
  <si>
    <t>https://www.premierleague.com/en/stats/all-time</t>
  </si>
  <si>
    <t>Official Premier League stats centre.</t>
  </si>
  <si>
    <t>Premier League official top player stats</t>
  </si>
  <si>
    <t>Reference for all-time appearances and player stat categories</t>
  </si>
  <si>
    <t>https://www.premierleague.com/en/stats/top/players?statMetric=appearances&amp;season=all</t>
  </si>
  <si>
    <t>Premier League Hall of Fame overview</t>
  </si>
  <si>
    <t>Reference for Hall of Fame status and criteria</t>
  </si>
  <si>
    <t>https://www.premierleague.com/en/events/hall-of-fame/overview</t>
  </si>
  <si>
    <t>Official Premier League Hall of Fame overview.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</si>
</sst>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FF"/>
      <name val="Calibri"/>
    </font>
    <font>
      <sz val="11"/>
      <color rgb="FF808080"/>
      <name val="Calibri"/>
    </font>
    <font>
      <b/>
      <sz val="11"/>
      <color rgb="FF000000"/>
      <name val="Calibri"/>
    </font>
    <font>
      <b/>
      <sz val="16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BFDFF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1" fontId="3" fillId="4" borderId="1" xfId="0" applyNumberFormat="1" applyFont="1" applyFill="1" applyBorder="1" applyAlignment="1">
      <alignment horizontal="center" vertical="top"/>
    </xf>
    <xf numFmtId="1" fontId="4" fillId="4" borderId="1" xfId="0" applyNumberFormat="1" applyFont="1" applyFill="1" applyBorder="1" applyAlignment="1">
      <alignment horizontal="center" vertical="top"/>
    </xf>
    <xf numFmtId="1" fontId="5" fillId="4" borderId="1" xfId="0" applyNumberFormat="1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1" fontId="3" fillId="5" borderId="1" xfId="0" applyNumberFormat="1" applyFont="1" applyFill="1" applyBorder="1" applyAlignment="1">
      <alignment horizontal="center" vertical="top"/>
    </xf>
    <xf numFmtId="1" fontId="4" fillId="5" borderId="1" xfId="0" applyNumberFormat="1" applyFont="1" applyFill="1" applyBorder="1" applyAlignment="1">
      <alignment horizontal="center" vertical="top"/>
    </xf>
    <xf numFmtId="1" fontId="5" fillId="5" borderId="1" xfId="0" applyNumberFormat="1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 wrapText="1"/>
    </xf>
    <xf numFmtId="1" fontId="3" fillId="6" borderId="1" xfId="0" applyNumberFormat="1" applyFont="1" applyFill="1" applyBorder="1" applyAlignment="1">
      <alignment horizontal="center" vertical="top"/>
    </xf>
    <xf numFmtId="1" fontId="4" fillId="6" borderId="1" xfId="0" applyNumberFormat="1" applyFont="1" applyFill="1" applyBorder="1" applyAlignment="1">
      <alignment horizontal="center" vertical="top"/>
    </xf>
    <xf numFmtId="1" fontId="5" fillId="6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1" fontId="3" fillId="3" borderId="1" xfId="0" applyNumberFormat="1" applyFont="1" applyFill="1" applyBorder="1" applyAlignment="1">
      <alignment horizontal="center" vertical="top"/>
    </xf>
    <xf numFmtId="1" fontId="4" fillId="3" borderId="1" xfId="0" applyNumberFormat="1" applyFont="1" applyFill="1" applyBorder="1" applyAlignment="1">
      <alignment horizontal="center" vertical="top"/>
    </xf>
    <xf numFmtId="1" fontId="5" fillId="3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1" fontId="3" fillId="0" borderId="1" xfId="0" applyNumberFormat="1" applyFont="1" applyBorder="1" applyAlignment="1">
      <alignment horizontal="center" vertical="top"/>
    </xf>
    <xf numFmtId="1" fontId="4" fillId="0" borderId="1" xfId="0" applyNumberFormat="1" applyFont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6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Top 20 Overall Ratings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Summary!$E$2</c:f>
              <c:strCache>
                <c:ptCount val="1"/>
                <c:pt idx="0">
                  <c:v>Rating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Summary!$D$3:$D$22</c:f>
              <c:numCache>
                <c:formatCode>General</c:formatCode>
                <c:ptCount val="20"/>
              </c:numCache>
            </c:numRef>
          </c:cat>
          <c:val>
            <c:numRef>
              <c:f>Summary!$E$3:$E$22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1C69-4700-9F7C-815D38A5BA9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Rating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Player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Top200" displayName="PLTop200" ref="A1:J201">
  <autoFilter ref="A1:J201" xr:uid="{00000000-0009-0000-0100-000001000000}"/>
  <tableColumns count="10">
    <tableColumn id="1" xr3:uid="{00000000-0010-0000-0000-000001000000}" name="Rank"/>
    <tableColumn id="2" xr3:uid="{00000000-0010-0000-0000-000002000000}" name="Player"/>
    <tableColumn id="3" xr3:uid="{00000000-0010-0000-0000-000003000000}" name="Primary Position"/>
    <tableColumn id="4" xr3:uid="{00000000-0010-0000-0000-000004000000}" name="Main Premier League Club(s)"/>
    <tableColumn id="5" xr3:uid="{00000000-0010-0000-0000-000005000000}" name="Premier League Era"/>
    <tableColumn id="6" xr3:uid="{00000000-0010-0000-0000-000006000000}" name="Prime Score"/>
    <tableColumn id="7" xr3:uid="{00000000-0010-0000-0000-000007000000}" name="Legacy Score"/>
    <tableColumn id="8" xr3:uid="{00000000-0010-0000-0000-000008000000}" name="Longevity Score"/>
    <tableColumn id="9" xr3:uid="{00000000-0010-0000-0000-000009000000}" name="Overall Rating"/>
    <tableColumn id="10" xr3:uid="{00000000-0010-0000-0000-00000A000000}" name="Short rational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workbookViewId="0">
      <selection sqref="A1:F1"/>
    </sheetView>
  </sheetViews>
  <sheetFormatPr defaultRowHeight="15" x14ac:dyDescent="0.25"/>
  <cols>
    <col min="1" max="1" width="28" customWidth="1"/>
    <col min="2" max="2" width="24" customWidth="1"/>
    <col min="4" max="4" width="26" customWidth="1"/>
    <col min="5" max="5" width="12" customWidth="1"/>
  </cols>
  <sheetData>
    <row r="1" spans="1:6" ht="21" x14ac:dyDescent="0.35">
      <c r="A1" s="24" t="s">
        <v>0</v>
      </c>
      <c r="B1" s="25"/>
      <c r="C1" s="25"/>
      <c r="D1" s="25"/>
      <c r="E1" s="25"/>
      <c r="F1" s="25"/>
    </row>
    <row r="2" spans="1:6" x14ac:dyDescent="0.25">
      <c r="A2" s="1" t="s">
        <v>1</v>
      </c>
      <c r="B2" s="1" t="s">
        <v>2</v>
      </c>
      <c r="C2" s="1"/>
      <c r="D2" s="1" t="s">
        <v>3</v>
      </c>
      <c r="E2" s="1" t="s">
        <v>4</v>
      </c>
      <c r="F2" s="1"/>
    </row>
    <row r="3" spans="1:6" x14ac:dyDescent="0.25">
      <c r="A3" t="s">
        <v>5</v>
      </c>
      <c r="B3">
        <f>COUNTA('Top 200'!B2:B201)</f>
        <v>200</v>
      </c>
    </row>
    <row r="4" spans="1:6" x14ac:dyDescent="0.25">
      <c r="A4" t="s">
        <v>6</v>
      </c>
      <c r="B4">
        <f>ROUND(AVERAGE('Top 200'!I2:I201),1)</f>
        <v>86.9</v>
      </c>
    </row>
    <row r="5" spans="1:6" x14ac:dyDescent="0.25">
      <c r="A5" t="s">
        <v>7</v>
      </c>
      <c r="B5" t="str">
        <f>INDEX('Top 200'!B2:B201,MATCH(MAX('Top 200'!I2:I201),'Top 200'!I2:I201,0))</f>
        <v>Thierry Henry</v>
      </c>
    </row>
    <row r="6" spans="1:6" x14ac:dyDescent="0.25">
      <c r="A6" t="s">
        <v>8</v>
      </c>
      <c r="B6">
        <f>MAX('Top 200'!I2:I201)</f>
        <v>99</v>
      </c>
    </row>
    <row r="7" spans="1:6" x14ac:dyDescent="0.25">
      <c r="A7" t="s">
        <v>9</v>
      </c>
      <c r="B7">
        <f>COUNTIF('Top 200'!I2:I201,"&gt;=90")</f>
        <v>54</v>
      </c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showGridLines="0" tabSelected="1" workbookViewId="0">
      <pane ySplit="1" topLeftCell="A2" activePane="bottomLeft" state="frozen"/>
      <selection pane="bottomLeft" activeCell="G200" sqref="G200"/>
    </sheetView>
  </sheetViews>
  <sheetFormatPr defaultRowHeight="15" x14ac:dyDescent="0.25"/>
  <cols>
    <col min="1" max="1" width="8" customWidth="1"/>
    <col min="2" max="2" width="24" customWidth="1"/>
    <col min="3" max="3" width="18" customWidth="1"/>
    <col min="4" max="4" width="42" customWidth="1"/>
    <col min="5" max="5" width="18" customWidth="1"/>
    <col min="6" max="7" width="13" customWidth="1"/>
    <col min="8" max="8" width="15" customWidth="1"/>
    <col min="9" max="9" width="14" customWidth="1"/>
    <col min="10" max="10" width="70" customWidth="1"/>
  </cols>
  <sheetData>
    <row r="1" spans="1:10" ht="27.95" customHeigh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</row>
    <row r="2" spans="1:10" ht="33.950000000000003" customHeight="1" x14ac:dyDescent="0.25">
      <c r="A2" s="3">
        <v>1</v>
      </c>
      <c r="B2" s="3" t="s">
        <v>20</v>
      </c>
      <c r="C2" s="3" t="s">
        <v>21</v>
      </c>
      <c r="D2" s="3" t="s">
        <v>22</v>
      </c>
      <c r="E2" s="3" t="s">
        <v>23</v>
      </c>
      <c r="F2" s="4">
        <v>100</v>
      </c>
      <c r="G2" s="5">
        <v>100</v>
      </c>
      <c r="H2" s="5">
        <v>92</v>
      </c>
      <c r="I2" s="6">
        <f t="shared" ref="I2:I33" si="0">ROUND(F2*0.55+G2*0.3+H2*0.15,0)</f>
        <v>99</v>
      </c>
      <c r="J2" s="3" t="s">
        <v>24</v>
      </c>
    </row>
    <row r="3" spans="1:10" ht="33.950000000000003" customHeight="1" x14ac:dyDescent="0.25">
      <c r="A3" s="3">
        <v>2</v>
      </c>
      <c r="B3" s="3" t="s">
        <v>25</v>
      </c>
      <c r="C3" s="3" t="s">
        <v>26</v>
      </c>
      <c r="D3" s="3" t="s">
        <v>27</v>
      </c>
      <c r="E3" s="3" t="s">
        <v>28</v>
      </c>
      <c r="F3" s="4">
        <v>99</v>
      </c>
      <c r="G3" s="5">
        <v>100</v>
      </c>
      <c r="H3" s="5">
        <v>98</v>
      </c>
      <c r="I3" s="6">
        <f t="shared" si="0"/>
        <v>99</v>
      </c>
      <c r="J3" s="3" t="s">
        <v>29</v>
      </c>
    </row>
    <row r="4" spans="1:10" ht="33.950000000000003" customHeight="1" x14ac:dyDescent="0.25">
      <c r="A4" s="3"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4">
        <v>99</v>
      </c>
      <c r="G4" s="5">
        <v>97</v>
      </c>
      <c r="H4" s="5">
        <v>93</v>
      </c>
      <c r="I4" s="6">
        <f t="shared" si="0"/>
        <v>98</v>
      </c>
      <c r="J4" s="3" t="s">
        <v>34</v>
      </c>
    </row>
    <row r="5" spans="1:10" ht="33.950000000000003" customHeight="1" x14ac:dyDescent="0.25">
      <c r="A5" s="3">
        <v>4</v>
      </c>
      <c r="B5" s="3" t="s">
        <v>35</v>
      </c>
      <c r="C5" s="3" t="s">
        <v>36</v>
      </c>
      <c r="D5" s="3" t="s">
        <v>32</v>
      </c>
      <c r="E5" s="3" t="s">
        <v>37</v>
      </c>
      <c r="F5" s="4">
        <v>98</v>
      </c>
      <c r="G5" s="5">
        <v>98</v>
      </c>
      <c r="H5" s="5">
        <v>95</v>
      </c>
      <c r="I5" s="6">
        <f t="shared" si="0"/>
        <v>98</v>
      </c>
      <c r="J5" s="3" t="s">
        <v>38</v>
      </c>
    </row>
    <row r="6" spans="1:10" ht="33.950000000000003" customHeight="1" x14ac:dyDescent="0.25">
      <c r="A6" s="3">
        <v>5</v>
      </c>
      <c r="B6" s="3" t="s">
        <v>39</v>
      </c>
      <c r="C6" s="3" t="s">
        <v>40</v>
      </c>
      <c r="D6" s="3" t="s">
        <v>41</v>
      </c>
      <c r="E6" s="3" t="s">
        <v>42</v>
      </c>
      <c r="F6" s="4">
        <v>97</v>
      </c>
      <c r="G6" s="5">
        <v>99</v>
      </c>
      <c r="H6" s="5">
        <v>97</v>
      </c>
      <c r="I6" s="6">
        <f t="shared" si="0"/>
        <v>98</v>
      </c>
      <c r="J6" s="3" t="s">
        <v>43</v>
      </c>
    </row>
    <row r="7" spans="1:10" ht="33.950000000000003" customHeight="1" x14ac:dyDescent="0.25">
      <c r="A7" s="3">
        <v>6</v>
      </c>
      <c r="B7" s="3" t="s">
        <v>44</v>
      </c>
      <c r="C7" s="3" t="s">
        <v>45</v>
      </c>
      <c r="D7" s="3" t="s">
        <v>46</v>
      </c>
      <c r="E7" s="3" t="s">
        <v>47</v>
      </c>
      <c r="F7" s="4">
        <v>96</v>
      </c>
      <c r="G7" s="5">
        <v>100</v>
      </c>
      <c r="H7" s="5">
        <v>99</v>
      </c>
      <c r="I7" s="6">
        <f t="shared" si="0"/>
        <v>98</v>
      </c>
      <c r="J7" s="3" t="s">
        <v>48</v>
      </c>
    </row>
    <row r="8" spans="1:10" ht="33.950000000000003" customHeight="1" x14ac:dyDescent="0.25">
      <c r="A8" s="3">
        <v>7</v>
      </c>
      <c r="B8" s="3" t="s">
        <v>49</v>
      </c>
      <c r="C8" s="3" t="s">
        <v>50</v>
      </c>
      <c r="D8" s="3" t="s">
        <v>51</v>
      </c>
      <c r="E8" s="3" t="s">
        <v>52</v>
      </c>
      <c r="F8" s="4">
        <v>100</v>
      </c>
      <c r="G8" s="5">
        <v>98</v>
      </c>
      <c r="H8" s="5">
        <v>82</v>
      </c>
      <c r="I8" s="6">
        <f t="shared" si="0"/>
        <v>97</v>
      </c>
      <c r="J8" s="3" t="s">
        <v>53</v>
      </c>
    </row>
    <row r="9" spans="1:10" ht="33.950000000000003" customHeight="1" x14ac:dyDescent="0.25">
      <c r="A9" s="3">
        <v>8</v>
      </c>
      <c r="B9" s="3" t="s">
        <v>54</v>
      </c>
      <c r="C9" s="3" t="s">
        <v>36</v>
      </c>
      <c r="D9" s="3" t="s">
        <v>55</v>
      </c>
      <c r="E9" s="3" t="s">
        <v>56</v>
      </c>
      <c r="F9" s="4">
        <v>99</v>
      </c>
      <c r="G9" s="5">
        <v>97</v>
      </c>
      <c r="H9" s="5">
        <v>91</v>
      </c>
      <c r="I9" s="6">
        <f t="shared" si="0"/>
        <v>97</v>
      </c>
      <c r="J9" s="3" t="s">
        <v>57</v>
      </c>
    </row>
    <row r="10" spans="1:10" ht="33.950000000000003" customHeight="1" x14ac:dyDescent="0.25">
      <c r="A10" s="3">
        <v>9</v>
      </c>
      <c r="B10" s="3" t="s">
        <v>58</v>
      </c>
      <c r="C10" s="3" t="s">
        <v>45</v>
      </c>
      <c r="D10" s="3" t="s">
        <v>59</v>
      </c>
      <c r="E10" s="3" t="s">
        <v>60</v>
      </c>
      <c r="F10" s="4">
        <v>97</v>
      </c>
      <c r="G10" s="5">
        <v>99</v>
      </c>
      <c r="H10" s="5">
        <v>91</v>
      </c>
      <c r="I10" s="6">
        <f t="shared" si="0"/>
        <v>97</v>
      </c>
      <c r="J10" s="3" t="s">
        <v>61</v>
      </c>
    </row>
    <row r="11" spans="1:10" ht="33.950000000000003" customHeight="1" x14ac:dyDescent="0.25">
      <c r="A11" s="3">
        <v>10</v>
      </c>
      <c r="B11" s="3" t="s">
        <v>62</v>
      </c>
      <c r="C11" s="3" t="s">
        <v>26</v>
      </c>
      <c r="D11" s="3" t="s">
        <v>55</v>
      </c>
      <c r="E11" s="3" t="s">
        <v>63</v>
      </c>
      <c r="F11" s="4">
        <v>96</v>
      </c>
      <c r="G11" s="5">
        <v>98</v>
      </c>
      <c r="H11" s="5">
        <v>91</v>
      </c>
      <c r="I11" s="6">
        <f t="shared" si="0"/>
        <v>96</v>
      </c>
      <c r="J11" s="3" t="s">
        <v>64</v>
      </c>
    </row>
    <row r="12" spans="1:10" ht="33.950000000000003" customHeight="1" x14ac:dyDescent="0.25">
      <c r="A12" s="7">
        <v>11</v>
      </c>
      <c r="B12" s="7" t="s">
        <v>65</v>
      </c>
      <c r="C12" s="7" t="s">
        <v>45</v>
      </c>
      <c r="D12" s="7" t="s">
        <v>51</v>
      </c>
      <c r="E12" s="7" t="s">
        <v>66</v>
      </c>
      <c r="F12" s="8">
        <v>96</v>
      </c>
      <c r="G12" s="9">
        <v>97</v>
      </c>
      <c r="H12" s="9">
        <v>94</v>
      </c>
      <c r="I12" s="10">
        <f t="shared" si="0"/>
        <v>96</v>
      </c>
      <c r="J12" s="7" t="s">
        <v>67</v>
      </c>
    </row>
    <row r="13" spans="1:10" ht="33.950000000000003" customHeight="1" x14ac:dyDescent="0.25">
      <c r="A13" s="7">
        <v>12</v>
      </c>
      <c r="B13" s="7" t="s">
        <v>68</v>
      </c>
      <c r="C13" s="7" t="s">
        <v>69</v>
      </c>
      <c r="D13" s="7" t="s">
        <v>70</v>
      </c>
      <c r="E13" s="7" t="s">
        <v>71</v>
      </c>
      <c r="F13" s="8">
        <v>94</v>
      </c>
      <c r="G13" s="9">
        <v>98</v>
      </c>
      <c r="H13" s="9">
        <v>96</v>
      </c>
      <c r="I13" s="10">
        <f t="shared" si="0"/>
        <v>96</v>
      </c>
      <c r="J13" s="7" t="s">
        <v>72</v>
      </c>
    </row>
    <row r="14" spans="1:10" ht="33.950000000000003" customHeight="1" x14ac:dyDescent="0.25">
      <c r="A14" s="7">
        <v>13</v>
      </c>
      <c r="B14" s="7" t="s">
        <v>73</v>
      </c>
      <c r="C14" s="7" t="s">
        <v>74</v>
      </c>
      <c r="D14" s="7" t="s">
        <v>75</v>
      </c>
      <c r="E14" s="7" t="s">
        <v>76</v>
      </c>
      <c r="F14" s="8">
        <v>99</v>
      </c>
      <c r="G14" s="9">
        <v>99</v>
      </c>
      <c r="H14" s="9">
        <v>70</v>
      </c>
      <c r="I14" s="10">
        <f t="shared" si="0"/>
        <v>95</v>
      </c>
      <c r="J14" s="7" t="s">
        <v>77</v>
      </c>
    </row>
    <row r="15" spans="1:10" ht="33.950000000000003" customHeight="1" x14ac:dyDescent="0.25">
      <c r="A15" s="7">
        <v>14</v>
      </c>
      <c r="B15" s="7" t="s">
        <v>78</v>
      </c>
      <c r="C15" s="7" t="s">
        <v>69</v>
      </c>
      <c r="D15" s="7" t="s">
        <v>79</v>
      </c>
      <c r="E15" s="7" t="s">
        <v>56</v>
      </c>
      <c r="F15" s="8">
        <v>98</v>
      </c>
      <c r="G15" s="9">
        <v>95</v>
      </c>
      <c r="H15" s="9">
        <v>82</v>
      </c>
      <c r="I15" s="10">
        <f t="shared" si="0"/>
        <v>95</v>
      </c>
      <c r="J15" s="7" t="s">
        <v>80</v>
      </c>
    </row>
    <row r="16" spans="1:10" ht="33.950000000000003" customHeight="1" x14ac:dyDescent="0.25">
      <c r="A16" s="7">
        <v>15</v>
      </c>
      <c r="B16" s="7" t="s">
        <v>81</v>
      </c>
      <c r="C16" s="7" t="s">
        <v>45</v>
      </c>
      <c r="D16" s="7" t="s">
        <v>82</v>
      </c>
      <c r="E16" s="7" t="s">
        <v>83</v>
      </c>
      <c r="F16" s="8">
        <v>96</v>
      </c>
      <c r="G16" s="9">
        <v>98</v>
      </c>
      <c r="H16" s="9">
        <v>88</v>
      </c>
      <c r="I16" s="10">
        <f t="shared" si="0"/>
        <v>95</v>
      </c>
      <c r="J16" s="7" t="s">
        <v>84</v>
      </c>
    </row>
    <row r="17" spans="1:10" ht="33.950000000000003" customHeight="1" x14ac:dyDescent="0.25">
      <c r="A17" s="7">
        <v>16</v>
      </c>
      <c r="B17" s="7" t="s">
        <v>85</v>
      </c>
      <c r="C17" s="7" t="s">
        <v>86</v>
      </c>
      <c r="D17" s="7" t="s">
        <v>55</v>
      </c>
      <c r="E17" s="7" t="s">
        <v>87</v>
      </c>
      <c r="F17" s="8">
        <v>96</v>
      </c>
      <c r="G17" s="9">
        <v>96</v>
      </c>
      <c r="H17" s="9">
        <v>91</v>
      </c>
      <c r="I17" s="10">
        <f t="shared" si="0"/>
        <v>95</v>
      </c>
      <c r="J17" s="7" t="s">
        <v>88</v>
      </c>
    </row>
    <row r="18" spans="1:10" ht="33.950000000000003" customHeight="1" x14ac:dyDescent="0.25">
      <c r="A18" s="7">
        <v>17</v>
      </c>
      <c r="B18" s="7" t="s">
        <v>89</v>
      </c>
      <c r="C18" s="7" t="s">
        <v>90</v>
      </c>
      <c r="D18" s="7" t="s">
        <v>22</v>
      </c>
      <c r="E18" s="7" t="s">
        <v>91</v>
      </c>
      <c r="F18" s="8">
        <v>96</v>
      </c>
      <c r="G18" s="9">
        <v>96</v>
      </c>
      <c r="H18" s="9">
        <v>87</v>
      </c>
      <c r="I18" s="10">
        <f t="shared" si="0"/>
        <v>95</v>
      </c>
      <c r="J18" s="7" t="s">
        <v>92</v>
      </c>
    </row>
    <row r="19" spans="1:10" ht="33.950000000000003" customHeight="1" x14ac:dyDescent="0.25">
      <c r="A19" s="7">
        <v>18</v>
      </c>
      <c r="B19" s="7" t="s">
        <v>93</v>
      </c>
      <c r="C19" s="7" t="s">
        <v>26</v>
      </c>
      <c r="D19" s="7" t="s">
        <v>94</v>
      </c>
      <c r="E19" s="7" t="s">
        <v>95</v>
      </c>
      <c r="F19" s="8">
        <v>96</v>
      </c>
      <c r="G19" s="9">
        <v>94</v>
      </c>
      <c r="H19" s="9">
        <v>92</v>
      </c>
      <c r="I19" s="10">
        <f t="shared" si="0"/>
        <v>95</v>
      </c>
      <c r="J19" s="7" t="s">
        <v>96</v>
      </c>
    </row>
    <row r="20" spans="1:10" ht="33.950000000000003" customHeight="1" x14ac:dyDescent="0.25">
      <c r="A20" s="7">
        <v>19</v>
      </c>
      <c r="B20" s="7" t="s">
        <v>97</v>
      </c>
      <c r="C20" s="7" t="s">
        <v>69</v>
      </c>
      <c r="D20" s="7" t="s">
        <v>98</v>
      </c>
      <c r="E20" s="7" t="s">
        <v>47</v>
      </c>
      <c r="F20" s="8">
        <v>94</v>
      </c>
      <c r="G20" s="9">
        <v>97</v>
      </c>
      <c r="H20" s="9">
        <v>94</v>
      </c>
      <c r="I20" s="10">
        <f t="shared" si="0"/>
        <v>95</v>
      </c>
      <c r="J20" s="7" t="s">
        <v>99</v>
      </c>
    </row>
    <row r="21" spans="1:10" ht="33.950000000000003" customHeight="1" x14ac:dyDescent="0.25">
      <c r="A21" s="7">
        <v>20</v>
      </c>
      <c r="B21" s="7" t="s">
        <v>100</v>
      </c>
      <c r="C21" s="7" t="s">
        <v>101</v>
      </c>
      <c r="D21" s="7" t="s">
        <v>102</v>
      </c>
      <c r="E21" s="7" t="s">
        <v>103</v>
      </c>
      <c r="F21" s="8">
        <v>94</v>
      </c>
      <c r="G21" s="9">
        <v>96</v>
      </c>
      <c r="H21" s="9">
        <v>95</v>
      </c>
      <c r="I21" s="10">
        <f t="shared" si="0"/>
        <v>95</v>
      </c>
      <c r="J21" s="7" t="s">
        <v>104</v>
      </c>
    </row>
    <row r="22" spans="1:10" ht="33.950000000000003" customHeight="1" x14ac:dyDescent="0.25">
      <c r="A22" s="7">
        <v>21</v>
      </c>
      <c r="B22" s="7" t="s">
        <v>105</v>
      </c>
      <c r="C22" s="7" t="s">
        <v>106</v>
      </c>
      <c r="D22" s="7" t="s">
        <v>51</v>
      </c>
      <c r="E22" s="7" t="s">
        <v>107</v>
      </c>
      <c r="F22" s="8">
        <v>92</v>
      </c>
      <c r="G22" s="9">
        <v>99</v>
      </c>
      <c r="H22" s="9">
        <v>100</v>
      </c>
      <c r="I22" s="10">
        <f t="shared" si="0"/>
        <v>95</v>
      </c>
      <c r="J22" s="7" t="s">
        <v>108</v>
      </c>
    </row>
    <row r="23" spans="1:10" ht="33.950000000000003" customHeight="1" x14ac:dyDescent="0.25">
      <c r="A23" s="7">
        <v>22</v>
      </c>
      <c r="B23" s="7" t="s">
        <v>109</v>
      </c>
      <c r="C23" s="7" t="s">
        <v>110</v>
      </c>
      <c r="D23" s="7" t="s">
        <v>70</v>
      </c>
      <c r="E23" s="7" t="s">
        <v>111</v>
      </c>
      <c r="F23" s="8">
        <v>97</v>
      </c>
      <c r="G23" s="9">
        <v>94</v>
      </c>
      <c r="H23" s="9">
        <v>82</v>
      </c>
      <c r="I23" s="10">
        <f t="shared" si="0"/>
        <v>94</v>
      </c>
      <c r="J23" s="7" t="s">
        <v>112</v>
      </c>
    </row>
    <row r="24" spans="1:10" ht="33.950000000000003" customHeight="1" x14ac:dyDescent="0.25">
      <c r="A24" s="7">
        <v>23</v>
      </c>
      <c r="B24" s="7" t="s">
        <v>113</v>
      </c>
      <c r="C24" s="7" t="s">
        <v>101</v>
      </c>
      <c r="D24" s="7" t="s">
        <v>114</v>
      </c>
      <c r="E24" s="7" t="s">
        <v>115</v>
      </c>
      <c r="F24" s="8">
        <v>96</v>
      </c>
      <c r="G24" s="9">
        <v>96</v>
      </c>
      <c r="H24" s="9">
        <v>82</v>
      </c>
      <c r="I24" s="10">
        <f t="shared" si="0"/>
        <v>94</v>
      </c>
      <c r="J24" s="7" t="s">
        <v>116</v>
      </c>
    </row>
    <row r="25" spans="1:10" ht="33.950000000000003" customHeight="1" x14ac:dyDescent="0.25">
      <c r="A25" s="7">
        <v>24</v>
      </c>
      <c r="B25" s="7" t="s">
        <v>117</v>
      </c>
      <c r="C25" s="7" t="s">
        <v>118</v>
      </c>
      <c r="D25" s="7" t="s">
        <v>119</v>
      </c>
      <c r="E25" s="7" t="s">
        <v>120</v>
      </c>
      <c r="F25" s="8">
        <v>93</v>
      </c>
      <c r="G25" s="9">
        <v>96</v>
      </c>
      <c r="H25" s="9">
        <v>94</v>
      </c>
      <c r="I25" s="10">
        <f t="shared" si="0"/>
        <v>94</v>
      </c>
      <c r="J25" s="7" t="s">
        <v>121</v>
      </c>
    </row>
    <row r="26" spans="1:10" ht="33.950000000000003" customHeight="1" x14ac:dyDescent="0.25">
      <c r="A26" s="7">
        <v>25</v>
      </c>
      <c r="B26" s="7" t="s">
        <v>122</v>
      </c>
      <c r="C26" s="7" t="s">
        <v>26</v>
      </c>
      <c r="D26" s="7" t="s">
        <v>123</v>
      </c>
      <c r="E26" s="7" t="s">
        <v>124</v>
      </c>
      <c r="F26" s="8">
        <v>96</v>
      </c>
      <c r="G26" s="9">
        <v>92</v>
      </c>
      <c r="H26" s="9">
        <v>82</v>
      </c>
      <c r="I26" s="10">
        <f t="shared" si="0"/>
        <v>93</v>
      </c>
      <c r="J26" s="7" t="s">
        <v>125</v>
      </c>
    </row>
    <row r="27" spans="1:10" ht="33.950000000000003" customHeight="1" x14ac:dyDescent="0.25">
      <c r="A27" s="11">
        <v>26</v>
      </c>
      <c r="B27" s="11" t="s">
        <v>126</v>
      </c>
      <c r="C27" s="11" t="s">
        <v>127</v>
      </c>
      <c r="D27" s="11" t="s">
        <v>128</v>
      </c>
      <c r="E27" s="11" t="s">
        <v>129</v>
      </c>
      <c r="F27" s="12">
        <v>95</v>
      </c>
      <c r="G27" s="13">
        <v>94</v>
      </c>
      <c r="H27" s="13">
        <v>82</v>
      </c>
      <c r="I27" s="14">
        <f t="shared" si="0"/>
        <v>93</v>
      </c>
      <c r="J27" s="11" t="s">
        <v>130</v>
      </c>
    </row>
    <row r="28" spans="1:10" ht="33.950000000000003" customHeight="1" x14ac:dyDescent="0.25">
      <c r="A28" s="11">
        <v>27</v>
      </c>
      <c r="B28" s="11" t="s">
        <v>131</v>
      </c>
      <c r="C28" s="11" t="s">
        <v>26</v>
      </c>
      <c r="D28" s="11" t="s">
        <v>70</v>
      </c>
      <c r="E28" s="11" t="s">
        <v>132</v>
      </c>
      <c r="F28" s="12">
        <v>94</v>
      </c>
      <c r="G28" s="13">
        <v>96</v>
      </c>
      <c r="H28" s="13">
        <v>86</v>
      </c>
      <c r="I28" s="14">
        <f t="shared" si="0"/>
        <v>93</v>
      </c>
      <c r="J28" s="11" t="s">
        <v>133</v>
      </c>
    </row>
    <row r="29" spans="1:10" ht="33.950000000000003" customHeight="1" x14ac:dyDescent="0.25">
      <c r="A29" s="11">
        <v>28</v>
      </c>
      <c r="B29" s="11" t="s">
        <v>134</v>
      </c>
      <c r="C29" s="11" t="s">
        <v>36</v>
      </c>
      <c r="D29" s="11" t="s">
        <v>119</v>
      </c>
      <c r="E29" s="11" t="s">
        <v>135</v>
      </c>
      <c r="F29" s="12">
        <v>94</v>
      </c>
      <c r="G29" s="13">
        <v>93</v>
      </c>
      <c r="H29" s="13">
        <v>89</v>
      </c>
      <c r="I29" s="14">
        <f t="shared" si="0"/>
        <v>93</v>
      </c>
      <c r="J29" s="11" t="s">
        <v>136</v>
      </c>
    </row>
    <row r="30" spans="1:10" ht="33.950000000000003" customHeight="1" x14ac:dyDescent="0.25">
      <c r="A30" s="11">
        <v>29</v>
      </c>
      <c r="B30" s="11" t="s">
        <v>137</v>
      </c>
      <c r="C30" s="11" t="s">
        <v>69</v>
      </c>
      <c r="D30" s="11" t="s">
        <v>138</v>
      </c>
      <c r="E30" s="11" t="s">
        <v>139</v>
      </c>
      <c r="F30" s="12">
        <v>92</v>
      </c>
      <c r="G30" s="13">
        <v>93</v>
      </c>
      <c r="H30" s="13">
        <v>95</v>
      </c>
      <c r="I30" s="14">
        <f t="shared" si="0"/>
        <v>93</v>
      </c>
      <c r="J30" s="11" t="s">
        <v>140</v>
      </c>
    </row>
    <row r="31" spans="1:10" ht="33.950000000000003" customHeight="1" x14ac:dyDescent="0.25">
      <c r="A31" s="11">
        <v>30</v>
      </c>
      <c r="B31" s="11" t="s">
        <v>141</v>
      </c>
      <c r="C31" s="11" t="s">
        <v>142</v>
      </c>
      <c r="D31" s="11" t="s">
        <v>55</v>
      </c>
      <c r="E31" s="11" t="s">
        <v>143</v>
      </c>
      <c r="F31" s="12">
        <v>96</v>
      </c>
      <c r="G31" s="13">
        <v>93</v>
      </c>
      <c r="H31" s="13">
        <v>78</v>
      </c>
      <c r="I31" s="14">
        <f t="shared" si="0"/>
        <v>92</v>
      </c>
      <c r="J31" s="11" t="s">
        <v>144</v>
      </c>
    </row>
    <row r="32" spans="1:10" ht="33.950000000000003" customHeight="1" x14ac:dyDescent="0.25">
      <c r="A32" s="11">
        <v>31</v>
      </c>
      <c r="B32" s="11" t="s">
        <v>145</v>
      </c>
      <c r="C32" s="11" t="s">
        <v>45</v>
      </c>
      <c r="D32" s="11" t="s">
        <v>55</v>
      </c>
      <c r="E32" s="11" t="s">
        <v>146</v>
      </c>
      <c r="F32" s="12">
        <v>96</v>
      </c>
      <c r="G32" s="13">
        <v>92</v>
      </c>
      <c r="H32" s="13">
        <v>80</v>
      </c>
      <c r="I32" s="14">
        <f t="shared" si="0"/>
        <v>92</v>
      </c>
      <c r="J32" s="11" t="s">
        <v>147</v>
      </c>
    </row>
    <row r="33" spans="1:10" ht="33.950000000000003" customHeight="1" x14ac:dyDescent="0.25">
      <c r="A33" s="11">
        <v>32</v>
      </c>
      <c r="B33" s="11" t="s">
        <v>148</v>
      </c>
      <c r="C33" s="11" t="s">
        <v>69</v>
      </c>
      <c r="D33" s="11" t="s">
        <v>51</v>
      </c>
      <c r="E33" s="11" t="s">
        <v>149</v>
      </c>
      <c r="F33" s="12">
        <v>94</v>
      </c>
      <c r="G33" s="13">
        <v>94</v>
      </c>
      <c r="H33" s="13">
        <v>82</v>
      </c>
      <c r="I33" s="14">
        <f t="shared" si="0"/>
        <v>92</v>
      </c>
      <c r="J33" s="11" t="s">
        <v>150</v>
      </c>
    </row>
    <row r="34" spans="1:10" ht="33.950000000000003" customHeight="1" x14ac:dyDescent="0.25">
      <c r="A34" s="11">
        <v>33</v>
      </c>
      <c r="B34" s="11" t="s">
        <v>151</v>
      </c>
      <c r="C34" s="11" t="s">
        <v>26</v>
      </c>
      <c r="D34" s="11" t="s">
        <v>152</v>
      </c>
      <c r="E34" s="11" t="s">
        <v>153</v>
      </c>
      <c r="F34" s="12">
        <v>94</v>
      </c>
      <c r="G34" s="13">
        <v>92</v>
      </c>
      <c r="H34" s="13">
        <v>82</v>
      </c>
      <c r="I34" s="14">
        <f t="shared" ref="I34:I65" si="1">ROUND(F34*0.55+G34*0.3+H34*0.15,0)</f>
        <v>92</v>
      </c>
      <c r="J34" s="11" t="s">
        <v>154</v>
      </c>
    </row>
    <row r="35" spans="1:10" ht="33.950000000000003" customHeight="1" x14ac:dyDescent="0.25">
      <c r="A35" s="11">
        <v>34</v>
      </c>
      <c r="B35" s="11" t="s">
        <v>155</v>
      </c>
      <c r="C35" s="11" t="s">
        <v>69</v>
      </c>
      <c r="D35" s="11" t="s">
        <v>55</v>
      </c>
      <c r="E35" s="11" t="s">
        <v>156</v>
      </c>
      <c r="F35" s="12">
        <v>92</v>
      </c>
      <c r="G35" s="13">
        <v>95</v>
      </c>
      <c r="H35" s="13">
        <v>89</v>
      </c>
      <c r="I35" s="14">
        <f t="shared" si="1"/>
        <v>92</v>
      </c>
      <c r="J35" s="11" t="s">
        <v>157</v>
      </c>
    </row>
    <row r="36" spans="1:10" ht="33.950000000000003" customHeight="1" x14ac:dyDescent="0.25">
      <c r="A36" s="11">
        <v>35</v>
      </c>
      <c r="B36" s="11" t="s">
        <v>158</v>
      </c>
      <c r="C36" s="11" t="s">
        <v>26</v>
      </c>
      <c r="D36" s="11" t="s">
        <v>159</v>
      </c>
      <c r="E36" s="11" t="s">
        <v>160</v>
      </c>
      <c r="F36" s="12">
        <v>91</v>
      </c>
      <c r="G36" s="13">
        <v>93</v>
      </c>
      <c r="H36" s="13">
        <v>93</v>
      </c>
      <c r="I36" s="14">
        <f t="shared" si="1"/>
        <v>92</v>
      </c>
      <c r="J36" s="11" t="s">
        <v>161</v>
      </c>
    </row>
    <row r="37" spans="1:10" ht="33.950000000000003" customHeight="1" x14ac:dyDescent="0.25">
      <c r="A37" s="11">
        <v>36</v>
      </c>
      <c r="B37" s="11" t="s">
        <v>162</v>
      </c>
      <c r="C37" s="11" t="s">
        <v>26</v>
      </c>
      <c r="D37" s="11" t="s">
        <v>32</v>
      </c>
      <c r="E37" s="11" t="s">
        <v>163</v>
      </c>
      <c r="F37" s="12">
        <v>100</v>
      </c>
      <c r="G37" s="13">
        <v>91</v>
      </c>
      <c r="H37" s="13">
        <v>58</v>
      </c>
      <c r="I37" s="14">
        <f t="shared" si="1"/>
        <v>91</v>
      </c>
      <c r="J37" s="11" t="s">
        <v>164</v>
      </c>
    </row>
    <row r="38" spans="1:10" ht="33.950000000000003" customHeight="1" x14ac:dyDescent="0.25">
      <c r="A38" s="11">
        <v>37</v>
      </c>
      <c r="B38" s="11" t="s">
        <v>165</v>
      </c>
      <c r="C38" s="11" t="s">
        <v>26</v>
      </c>
      <c r="D38" s="11" t="s">
        <v>51</v>
      </c>
      <c r="E38" s="11" t="s">
        <v>166</v>
      </c>
      <c r="F38" s="12">
        <v>96</v>
      </c>
      <c r="G38" s="13">
        <v>91</v>
      </c>
      <c r="H38" s="13">
        <v>72</v>
      </c>
      <c r="I38" s="14">
        <f t="shared" si="1"/>
        <v>91</v>
      </c>
      <c r="J38" s="11" t="s">
        <v>167</v>
      </c>
    </row>
    <row r="39" spans="1:10" ht="33.950000000000003" customHeight="1" x14ac:dyDescent="0.25">
      <c r="A39" s="11">
        <v>38</v>
      </c>
      <c r="B39" s="11" t="s">
        <v>168</v>
      </c>
      <c r="C39" s="11" t="s">
        <v>169</v>
      </c>
      <c r="D39" s="11" t="s">
        <v>170</v>
      </c>
      <c r="E39" s="11" t="s">
        <v>171</v>
      </c>
      <c r="F39" s="12">
        <v>94</v>
      </c>
      <c r="G39" s="13">
        <v>92</v>
      </c>
      <c r="H39" s="13">
        <v>78</v>
      </c>
      <c r="I39" s="14">
        <f t="shared" si="1"/>
        <v>91</v>
      </c>
      <c r="J39" s="11" t="s">
        <v>172</v>
      </c>
    </row>
    <row r="40" spans="1:10" ht="33.950000000000003" customHeight="1" x14ac:dyDescent="0.25">
      <c r="A40" s="11">
        <v>39</v>
      </c>
      <c r="B40" s="11" t="s">
        <v>173</v>
      </c>
      <c r="C40" s="11" t="s">
        <v>101</v>
      </c>
      <c r="D40" s="11" t="s">
        <v>32</v>
      </c>
      <c r="E40" s="11" t="s">
        <v>174</v>
      </c>
      <c r="F40" s="12">
        <v>94</v>
      </c>
      <c r="G40" s="13">
        <v>92</v>
      </c>
      <c r="H40" s="13">
        <v>78</v>
      </c>
      <c r="I40" s="14">
        <f t="shared" si="1"/>
        <v>91</v>
      </c>
      <c r="J40" s="11" t="s">
        <v>175</v>
      </c>
    </row>
    <row r="41" spans="1:10" ht="33.950000000000003" customHeight="1" x14ac:dyDescent="0.25">
      <c r="A41" s="11">
        <v>40</v>
      </c>
      <c r="B41" s="11" t="s">
        <v>176</v>
      </c>
      <c r="C41" s="11" t="s">
        <v>177</v>
      </c>
      <c r="D41" s="11" t="s">
        <v>79</v>
      </c>
      <c r="E41" s="11" t="s">
        <v>178</v>
      </c>
      <c r="F41" s="12">
        <v>93</v>
      </c>
      <c r="G41" s="13">
        <v>92</v>
      </c>
      <c r="H41" s="13">
        <v>84</v>
      </c>
      <c r="I41" s="14">
        <f t="shared" si="1"/>
        <v>91</v>
      </c>
      <c r="J41" s="11" t="s">
        <v>179</v>
      </c>
    </row>
    <row r="42" spans="1:10" ht="33.950000000000003" customHeight="1" x14ac:dyDescent="0.25">
      <c r="A42" s="11">
        <v>41</v>
      </c>
      <c r="B42" s="11" t="s">
        <v>180</v>
      </c>
      <c r="C42" s="11" t="s">
        <v>181</v>
      </c>
      <c r="D42" s="11" t="s">
        <v>94</v>
      </c>
      <c r="E42" s="11" t="s">
        <v>56</v>
      </c>
      <c r="F42" s="12">
        <v>92</v>
      </c>
      <c r="G42" s="13">
        <v>90</v>
      </c>
      <c r="H42" s="13">
        <v>89</v>
      </c>
      <c r="I42" s="14">
        <f t="shared" si="1"/>
        <v>91</v>
      </c>
      <c r="J42" s="11" t="s">
        <v>182</v>
      </c>
    </row>
    <row r="43" spans="1:10" ht="33.950000000000003" customHeight="1" x14ac:dyDescent="0.25">
      <c r="A43" s="11">
        <v>42</v>
      </c>
      <c r="B43" s="11" t="s">
        <v>183</v>
      </c>
      <c r="C43" s="11" t="s">
        <v>184</v>
      </c>
      <c r="D43" s="11" t="s">
        <v>51</v>
      </c>
      <c r="E43" s="11" t="s">
        <v>185</v>
      </c>
      <c r="F43" s="12">
        <v>91</v>
      </c>
      <c r="G43" s="13">
        <v>95</v>
      </c>
      <c r="H43" s="13">
        <v>84</v>
      </c>
      <c r="I43" s="14">
        <f t="shared" si="1"/>
        <v>91</v>
      </c>
      <c r="J43" s="11" t="s">
        <v>186</v>
      </c>
    </row>
    <row r="44" spans="1:10" ht="33.950000000000003" customHeight="1" x14ac:dyDescent="0.25">
      <c r="A44" s="11">
        <v>43</v>
      </c>
      <c r="B44" s="11" t="s">
        <v>187</v>
      </c>
      <c r="C44" s="11" t="s">
        <v>69</v>
      </c>
      <c r="D44" s="11" t="s">
        <v>22</v>
      </c>
      <c r="E44" s="11" t="s">
        <v>188</v>
      </c>
      <c r="F44" s="12">
        <v>91</v>
      </c>
      <c r="G44" s="13">
        <v>94</v>
      </c>
      <c r="H44" s="13">
        <v>86</v>
      </c>
      <c r="I44" s="14">
        <f t="shared" si="1"/>
        <v>91</v>
      </c>
      <c r="J44" s="11" t="s">
        <v>189</v>
      </c>
    </row>
    <row r="45" spans="1:10" ht="33.950000000000003" customHeight="1" x14ac:dyDescent="0.25">
      <c r="A45" s="11">
        <v>44</v>
      </c>
      <c r="B45" s="11" t="s">
        <v>190</v>
      </c>
      <c r="C45" s="11" t="s">
        <v>101</v>
      </c>
      <c r="D45" s="11" t="s">
        <v>82</v>
      </c>
      <c r="E45" s="11" t="s">
        <v>191</v>
      </c>
      <c r="F45" s="12">
        <v>91</v>
      </c>
      <c r="G45" s="13">
        <v>92</v>
      </c>
      <c r="H45" s="13">
        <v>87</v>
      </c>
      <c r="I45" s="14">
        <f t="shared" si="1"/>
        <v>91</v>
      </c>
      <c r="J45" s="11" t="s">
        <v>192</v>
      </c>
    </row>
    <row r="46" spans="1:10" ht="33.950000000000003" customHeight="1" x14ac:dyDescent="0.25">
      <c r="A46" s="11">
        <v>45</v>
      </c>
      <c r="B46" s="11" t="s">
        <v>193</v>
      </c>
      <c r="C46" s="11" t="s">
        <v>177</v>
      </c>
      <c r="D46" s="11" t="s">
        <v>94</v>
      </c>
      <c r="E46" s="11" t="s">
        <v>194</v>
      </c>
      <c r="F46" s="12">
        <v>96</v>
      </c>
      <c r="G46" s="13">
        <v>90</v>
      </c>
      <c r="H46" s="13">
        <v>70</v>
      </c>
      <c r="I46" s="14">
        <f t="shared" si="1"/>
        <v>90</v>
      </c>
      <c r="J46" s="11" t="s">
        <v>195</v>
      </c>
    </row>
    <row r="47" spans="1:10" ht="33.950000000000003" customHeight="1" x14ac:dyDescent="0.25">
      <c r="A47" s="11">
        <v>46</v>
      </c>
      <c r="B47" s="11" t="s">
        <v>196</v>
      </c>
      <c r="C47" s="11" t="s">
        <v>31</v>
      </c>
      <c r="D47" s="11" t="s">
        <v>197</v>
      </c>
      <c r="E47" s="11" t="s">
        <v>198</v>
      </c>
      <c r="F47" s="12">
        <v>93</v>
      </c>
      <c r="G47" s="13">
        <v>91</v>
      </c>
      <c r="H47" s="13">
        <v>80</v>
      </c>
      <c r="I47" s="14">
        <f t="shared" si="1"/>
        <v>90</v>
      </c>
      <c r="J47" s="11" t="s">
        <v>199</v>
      </c>
    </row>
    <row r="48" spans="1:10" ht="33.950000000000003" customHeight="1" x14ac:dyDescent="0.25">
      <c r="A48" s="11">
        <v>47</v>
      </c>
      <c r="B48" s="11" t="s">
        <v>200</v>
      </c>
      <c r="C48" s="11" t="s">
        <v>201</v>
      </c>
      <c r="D48" s="11" t="s">
        <v>202</v>
      </c>
      <c r="E48" s="11" t="s">
        <v>203</v>
      </c>
      <c r="F48" s="12">
        <v>93</v>
      </c>
      <c r="G48" s="13">
        <v>90</v>
      </c>
      <c r="H48" s="13">
        <v>76</v>
      </c>
      <c r="I48" s="14">
        <f t="shared" si="1"/>
        <v>90</v>
      </c>
      <c r="J48" s="11" t="s">
        <v>204</v>
      </c>
    </row>
    <row r="49" spans="1:10" ht="33.950000000000003" customHeight="1" x14ac:dyDescent="0.25">
      <c r="A49" s="11">
        <v>48</v>
      </c>
      <c r="B49" s="11" t="s">
        <v>205</v>
      </c>
      <c r="C49" s="11" t="s">
        <v>26</v>
      </c>
      <c r="D49" s="11" t="s">
        <v>206</v>
      </c>
      <c r="E49" s="11" t="s">
        <v>207</v>
      </c>
      <c r="F49" s="12">
        <v>93</v>
      </c>
      <c r="G49" s="13">
        <v>89</v>
      </c>
      <c r="H49" s="13">
        <v>80</v>
      </c>
      <c r="I49" s="14">
        <f t="shared" si="1"/>
        <v>90</v>
      </c>
      <c r="J49" s="11" t="s">
        <v>208</v>
      </c>
    </row>
    <row r="50" spans="1:10" ht="33.950000000000003" customHeight="1" x14ac:dyDescent="0.25">
      <c r="A50" s="11">
        <v>49</v>
      </c>
      <c r="B50" s="11" t="s">
        <v>209</v>
      </c>
      <c r="C50" s="11" t="s">
        <v>26</v>
      </c>
      <c r="D50" s="11" t="s">
        <v>210</v>
      </c>
      <c r="E50" s="11" t="s">
        <v>211</v>
      </c>
      <c r="F50" s="12">
        <v>91</v>
      </c>
      <c r="G50" s="13">
        <v>92</v>
      </c>
      <c r="H50" s="13">
        <v>81</v>
      </c>
      <c r="I50" s="14">
        <f t="shared" si="1"/>
        <v>90</v>
      </c>
      <c r="J50" s="11" t="s">
        <v>212</v>
      </c>
    </row>
    <row r="51" spans="1:10" ht="33.950000000000003" customHeight="1" x14ac:dyDescent="0.25">
      <c r="A51" s="11">
        <v>50</v>
      </c>
      <c r="B51" s="11" t="s">
        <v>213</v>
      </c>
      <c r="C51" s="11" t="s">
        <v>26</v>
      </c>
      <c r="D51" s="11" t="s">
        <v>214</v>
      </c>
      <c r="E51" s="11" t="s">
        <v>215</v>
      </c>
      <c r="F51" s="12">
        <v>91</v>
      </c>
      <c r="G51" s="13">
        <v>91</v>
      </c>
      <c r="H51" s="13">
        <v>87</v>
      </c>
      <c r="I51" s="14">
        <f t="shared" si="1"/>
        <v>90</v>
      </c>
      <c r="J51" s="11" t="s">
        <v>216</v>
      </c>
    </row>
    <row r="52" spans="1:10" ht="33.950000000000003" customHeight="1" x14ac:dyDescent="0.25">
      <c r="A52" s="15">
        <v>51</v>
      </c>
      <c r="B52" s="15" t="s">
        <v>217</v>
      </c>
      <c r="C52" s="15" t="s">
        <v>26</v>
      </c>
      <c r="D52" s="15" t="s">
        <v>218</v>
      </c>
      <c r="E52" s="15" t="s">
        <v>219</v>
      </c>
      <c r="F52" s="16">
        <v>91</v>
      </c>
      <c r="G52" s="17">
        <v>91</v>
      </c>
      <c r="H52" s="17">
        <v>86</v>
      </c>
      <c r="I52" s="18">
        <f t="shared" si="1"/>
        <v>90</v>
      </c>
      <c r="J52" s="15" t="s">
        <v>220</v>
      </c>
    </row>
    <row r="53" spans="1:10" ht="33.950000000000003" customHeight="1" x14ac:dyDescent="0.25">
      <c r="A53" s="19">
        <v>52</v>
      </c>
      <c r="B53" s="19" t="s">
        <v>221</v>
      </c>
      <c r="C53" s="19" t="s">
        <v>101</v>
      </c>
      <c r="D53" s="19" t="s">
        <v>222</v>
      </c>
      <c r="E53" s="19" t="s">
        <v>223</v>
      </c>
      <c r="F53" s="20">
        <v>91</v>
      </c>
      <c r="G53" s="21">
        <v>91</v>
      </c>
      <c r="H53" s="21">
        <v>82</v>
      </c>
      <c r="I53" s="22">
        <f t="shared" si="1"/>
        <v>90</v>
      </c>
      <c r="J53" s="19" t="s">
        <v>224</v>
      </c>
    </row>
    <row r="54" spans="1:10" ht="33.950000000000003" customHeight="1" x14ac:dyDescent="0.25">
      <c r="A54" s="15">
        <v>53</v>
      </c>
      <c r="B54" s="15" t="s">
        <v>225</v>
      </c>
      <c r="C54" s="15" t="s">
        <v>69</v>
      </c>
      <c r="D54" s="15" t="s">
        <v>32</v>
      </c>
      <c r="E54" s="15" t="s">
        <v>153</v>
      </c>
      <c r="F54" s="16">
        <v>88</v>
      </c>
      <c r="G54" s="17">
        <v>92</v>
      </c>
      <c r="H54" s="17">
        <v>96</v>
      </c>
      <c r="I54" s="18">
        <f t="shared" si="1"/>
        <v>90</v>
      </c>
      <c r="J54" s="15" t="s">
        <v>226</v>
      </c>
    </row>
    <row r="55" spans="1:10" ht="33.950000000000003" customHeight="1" x14ac:dyDescent="0.25">
      <c r="A55" s="19">
        <v>54</v>
      </c>
      <c r="B55" s="19" t="s">
        <v>227</v>
      </c>
      <c r="C55" s="19" t="s">
        <v>228</v>
      </c>
      <c r="D55" s="19" t="s">
        <v>51</v>
      </c>
      <c r="E55" s="19" t="s">
        <v>139</v>
      </c>
      <c r="F55" s="20">
        <v>87</v>
      </c>
      <c r="G55" s="21">
        <v>94</v>
      </c>
      <c r="H55" s="21">
        <v>94</v>
      </c>
      <c r="I55" s="22">
        <f t="shared" si="1"/>
        <v>90</v>
      </c>
      <c r="J55" s="19" t="s">
        <v>229</v>
      </c>
    </row>
    <row r="56" spans="1:10" ht="33.950000000000003" customHeight="1" x14ac:dyDescent="0.25">
      <c r="A56" s="15">
        <v>55</v>
      </c>
      <c r="B56" s="15" t="s">
        <v>230</v>
      </c>
      <c r="C56" s="15" t="s">
        <v>45</v>
      </c>
      <c r="D56" s="15" t="s">
        <v>70</v>
      </c>
      <c r="E56" s="15" t="s">
        <v>231</v>
      </c>
      <c r="F56" s="16">
        <v>92</v>
      </c>
      <c r="G56" s="17">
        <v>90</v>
      </c>
      <c r="H56" s="17">
        <v>76</v>
      </c>
      <c r="I56" s="18">
        <f t="shared" si="1"/>
        <v>89</v>
      </c>
      <c r="J56" s="15" t="s">
        <v>232</v>
      </c>
    </row>
    <row r="57" spans="1:10" ht="33.950000000000003" customHeight="1" x14ac:dyDescent="0.25">
      <c r="A57" s="19">
        <v>56</v>
      </c>
      <c r="B57" s="19" t="s">
        <v>233</v>
      </c>
      <c r="C57" s="19" t="s">
        <v>101</v>
      </c>
      <c r="D57" s="19" t="s">
        <v>51</v>
      </c>
      <c r="E57" s="19" t="s">
        <v>234</v>
      </c>
      <c r="F57" s="20">
        <v>90</v>
      </c>
      <c r="G57" s="21">
        <v>89</v>
      </c>
      <c r="H57" s="21">
        <v>88</v>
      </c>
      <c r="I57" s="22">
        <f t="shared" si="1"/>
        <v>89</v>
      </c>
      <c r="J57" s="19" t="s">
        <v>235</v>
      </c>
    </row>
    <row r="58" spans="1:10" ht="33.950000000000003" customHeight="1" x14ac:dyDescent="0.25">
      <c r="A58" s="15">
        <v>57</v>
      </c>
      <c r="B58" s="15" t="s">
        <v>236</v>
      </c>
      <c r="C58" s="15" t="s">
        <v>142</v>
      </c>
      <c r="D58" s="15" t="s">
        <v>70</v>
      </c>
      <c r="E58" s="15" t="s">
        <v>237</v>
      </c>
      <c r="F58" s="16">
        <v>92</v>
      </c>
      <c r="G58" s="17">
        <v>91</v>
      </c>
      <c r="H58" s="17">
        <v>70</v>
      </c>
      <c r="I58" s="18">
        <f t="shared" si="1"/>
        <v>88</v>
      </c>
      <c r="J58" s="15" t="s">
        <v>238</v>
      </c>
    </row>
    <row r="59" spans="1:10" ht="33.950000000000003" customHeight="1" x14ac:dyDescent="0.25">
      <c r="A59" s="19">
        <v>58</v>
      </c>
      <c r="B59" s="19" t="s">
        <v>239</v>
      </c>
      <c r="C59" s="19" t="s">
        <v>240</v>
      </c>
      <c r="D59" s="19" t="s">
        <v>22</v>
      </c>
      <c r="E59" s="19" t="s">
        <v>241</v>
      </c>
      <c r="F59" s="20">
        <v>92</v>
      </c>
      <c r="G59" s="21">
        <v>87</v>
      </c>
      <c r="H59" s="21">
        <v>74</v>
      </c>
      <c r="I59" s="22">
        <f t="shared" si="1"/>
        <v>88</v>
      </c>
      <c r="J59" s="19" t="s">
        <v>242</v>
      </c>
    </row>
    <row r="60" spans="1:10" ht="33.950000000000003" customHeight="1" x14ac:dyDescent="0.25">
      <c r="A60" s="15">
        <v>59</v>
      </c>
      <c r="B60" s="15" t="s">
        <v>243</v>
      </c>
      <c r="C60" s="15" t="s">
        <v>244</v>
      </c>
      <c r="D60" s="15" t="s">
        <v>245</v>
      </c>
      <c r="E60" s="15" t="s">
        <v>188</v>
      </c>
      <c r="F60" s="16">
        <v>91</v>
      </c>
      <c r="G60" s="17">
        <v>88</v>
      </c>
      <c r="H60" s="17">
        <v>78</v>
      </c>
      <c r="I60" s="18">
        <f t="shared" si="1"/>
        <v>88</v>
      </c>
      <c r="J60" s="15" t="s">
        <v>246</v>
      </c>
    </row>
    <row r="61" spans="1:10" ht="33.950000000000003" customHeight="1" x14ac:dyDescent="0.25">
      <c r="A61" s="19">
        <v>60</v>
      </c>
      <c r="B61" s="19" t="s">
        <v>247</v>
      </c>
      <c r="C61" s="19" t="s">
        <v>26</v>
      </c>
      <c r="D61" s="19" t="s">
        <v>248</v>
      </c>
      <c r="E61" s="19" t="s">
        <v>249</v>
      </c>
      <c r="F61" s="20">
        <v>91</v>
      </c>
      <c r="G61" s="21">
        <v>87</v>
      </c>
      <c r="H61" s="21">
        <v>78</v>
      </c>
      <c r="I61" s="22">
        <f t="shared" si="1"/>
        <v>88</v>
      </c>
      <c r="J61" s="19" t="s">
        <v>250</v>
      </c>
    </row>
    <row r="62" spans="1:10" ht="33.950000000000003" customHeight="1" x14ac:dyDescent="0.25">
      <c r="A62" s="15">
        <v>61</v>
      </c>
      <c r="B62" s="15" t="s">
        <v>251</v>
      </c>
      <c r="C62" s="15" t="s">
        <v>240</v>
      </c>
      <c r="D62" s="15" t="s">
        <v>51</v>
      </c>
      <c r="E62" s="15" t="s">
        <v>252</v>
      </c>
      <c r="F62" s="16">
        <v>91</v>
      </c>
      <c r="G62" s="17">
        <v>87</v>
      </c>
      <c r="H62" s="17">
        <v>78</v>
      </c>
      <c r="I62" s="18">
        <f t="shared" si="1"/>
        <v>88</v>
      </c>
      <c r="J62" s="15" t="s">
        <v>253</v>
      </c>
    </row>
    <row r="63" spans="1:10" ht="33.950000000000003" customHeight="1" x14ac:dyDescent="0.25">
      <c r="A63" s="19">
        <v>62</v>
      </c>
      <c r="B63" s="19" t="s">
        <v>254</v>
      </c>
      <c r="C63" s="19" t="s">
        <v>26</v>
      </c>
      <c r="D63" s="19" t="s">
        <v>255</v>
      </c>
      <c r="E63" s="19" t="s">
        <v>149</v>
      </c>
      <c r="F63" s="20">
        <v>91</v>
      </c>
      <c r="G63" s="21">
        <v>87</v>
      </c>
      <c r="H63" s="21">
        <v>77</v>
      </c>
      <c r="I63" s="22">
        <f t="shared" si="1"/>
        <v>88</v>
      </c>
      <c r="J63" s="19" t="s">
        <v>256</v>
      </c>
    </row>
    <row r="64" spans="1:10" ht="33.950000000000003" customHeight="1" x14ac:dyDescent="0.25">
      <c r="A64" s="15">
        <v>63</v>
      </c>
      <c r="B64" s="15" t="s">
        <v>257</v>
      </c>
      <c r="C64" s="15" t="s">
        <v>258</v>
      </c>
      <c r="D64" s="15" t="s">
        <v>55</v>
      </c>
      <c r="E64" s="15" t="s">
        <v>33</v>
      </c>
      <c r="F64" s="16">
        <v>90</v>
      </c>
      <c r="G64" s="17">
        <v>88</v>
      </c>
      <c r="H64" s="17">
        <v>79</v>
      </c>
      <c r="I64" s="18">
        <f t="shared" si="1"/>
        <v>88</v>
      </c>
      <c r="J64" s="15" t="s">
        <v>259</v>
      </c>
    </row>
    <row r="65" spans="1:10" ht="33.950000000000003" customHeight="1" x14ac:dyDescent="0.25">
      <c r="A65" s="19">
        <v>64</v>
      </c>
      <c r="B65" s="19" t="s">
        <v>260</v>
      </c>
      <c r="C65" s="19" t="s">
        <v>261</v>
      </c>
      <c r="D65" s="19" t="s">
        <v>32</v>
      </c>
      <c r="E65" s="19" t="s">
        <v>262</v>
      </c>
      <c r="F65" s="20">
        <v>90</v>
      </c>
      <c r="G65" s="21">
        <v>88</v>
      </c>
      <c r="H65" s="21">
        <v>78</v>
      </c>
      <c r="I65" s="22">
        <f t="shared" si="1"/>
        <v>88</v>
      </c>
      <c r="J65" s="19" t="s">
        <v>263</v>
      </c>
    </row>
    <row r="66" spans="1:10" ht="33.950000000000003" customHeight="1" x14ac:dyDescent="0.25">
      <c r="A66" s="15">
        <v>65</v>
      </c>
      <c r="B66" s="15" t="s">
        <v>264</v>
      </c>
      <c r="C66" s="15" t="s">
        <v>101</v>
      </c>
      <c r="D66" s="15" t="s">
        <v>265</v>
      </c>
      <c r="E66" s="15" t="s">
        <v>266</v>
      </c>
      <c r="F66" s="16">
        <v>89</v>
      </c>
      <c r="G66" s="17">
        <v>88</v>
      </c>
      <c r="H66" s="17">
        <v>82</v>
      </c>
      <c r="I66" s="18">
        <f t="shared" ref="I66:I97" si="2">ROUND(F66*0.55+G66*0.3+H66*0.15,0)</f>
        <v>88</v>
      </c>
      <c r="J66" s="15" t="s">
        <v>267</v>
      </c>
    </row>
    <row r="67" spans="1:10" ht="33.950000000000003" customHeight="1" x14ac:dyDescent="0.25">
      <c r="A67" s="19">
        <v>66</v>
      </c>
      <c r="B67" s="19" t="s">
        <v>268</v>
      </c>
      <c r="C67" s="19" t="s">
        <v>269</v>
      </c>
      <c r="D67" s="19" t="s">
        <v>270</v>
      </c>
      <c r="E67" s="19" t="s">
        <v>271</v>
      </c>
      <c r="F67" s="20">
        <v>89</v>
      </c>
      <c r="G67" s="21">
        <v>87</v>
      </c>
      <c r="H67" s="21">
        <v>83</v>
      </c>
      <c r="I67" s="22">
        <f t="shared" si="2"/>
        <v>88</v>
      </c>
      <c r="J67" s="19" t="s">
        <v>272</v>
      </c>
    </row>
    <row r="68" spans="1:10" ht="33.950000000000003" customHeight="1" x14ac:dyDescent="0.25">
      <c r="A68" s="15">
        <v>67</v>
      </c>
      <c r="B68" s="15" t="s">
        <v>273</v>
      </c>
      <c r="C68" s="15" t="s">
        <v>228</v>
      </c>
      <c r="D68" s="15" t="s">
        <v>274</v>
      </c>
      <c r="E68" s="15" t="s">
        <v>275</v>
      </c>
      <c r="F68" s="16">
        <v>88</v>
      </c>
      <c r="G68" s="17">
        <v>88</v>
      </c>
      <c r="H68" s="17">
        <v>89</v>
      </c>
      <c r="I68" s="18">
        <f t="shared" si="2"/>
        <v>88</v>
      </c>
      <c r="J68" s="15" t="s">
        <v>276</v>
      </c>
    </row>
    <row r="69" spans="1:10" ht="33.950000000000003" customHeight="1" x14ac:dyDescent="0.25">
      <c r="A69" s="19">
        <v>68</v>
      </c>
      <c r="B69" s="19" t="s">
        <v>277</v>
      </c>
      <c r="C69" s="19" t="s">
        <v>181</v>
      </c>
      <c r="D69" s="19" t="s">
        <v>51</v>
      </c>
      <c r="E69" s="19" t="s">
        <v>56</v>
      </c>
      <c r="F69" s="20">
        <v>88</v>
      </c>
      <c r="G69" s="21">
        <v>88</v>
      </c>
      <c r="H69" s="21">
        <v>88</v>
      </c>
      <c r="I69" s="22">
        <f t="shared" si="2"/>
        <v>88</v>
      </c>
      <c r="J69" s="19" t="s">
        <v>278</v>
      </c>
    </row>
    <row r="70" spans="1:10" ht="33.950000000000003" customHeight="1" x14ac:dyDescent="0.25">
      <c r="A70" s="15">
        <v>69</v>
      </c>
      <c r="B70" s="15" t="s">
        <v>279</v>
      </c>
      <c r="C70" s="15" t="s">
        <v>101</v>
      </c>
      <c r="D70" s="15" t="s">
        <v>280</v>
      </c>
      <c r="E70" s="15" t="s">
        <v>281</v>
      </c>
      <c r="F70" s="16">
        <v>88</v>
      </c>
      <c r="G70" s="17">
        <v>88</v>
      </c>
      <c r="H70" s="17">
        <v>87</v>
      </c>
      <c r="I70" s="18">
        <f t="shared" si="2"/>
        <v>88</v>
      </c>
      <c r="J70" s="15" t="s">
        <v>282</v>
      </c>
    </row>
    <row r="71" spans="1:10" ht="33.950000000000003" customHeight="1" x14ac:dyDescent="0.25">
      <c r="A71" s="19">
        <v>70</v>
      </c>
      <c r="B71" s="19" t="s">
        <v>283</v>
      </c>
      <c r="C71" s="19" t="s">
        <v>284</v>
      </c>
      <c r="D71" s="19" t="s">
        <v>285</v>
      </c>
      <c r="E71" s="19" t="s">
        <v>286</v>
      </c>
      <c r="F71" s="20">
        <v>88</v>
      </c>
      <c r="G71" s="21">
        <v>87</v>
      </c>
      <c r="H71" s="21">
        <v>89</v>
      </c>
      <c r="I71" s="22">
        <f t="shared" si="2"/>
        <v>88</v>
      </c>
      <c r="J71" s="19" t="s">
        <v>287</v>
      </c>
    </row>
    <row r="72" spans="1:10" ht="33.950000000000003" customHeight="1" x14ac:dyDescent="0.25">
      <c r="A72" s="15">
        <v>71</v>
      </c>
      <c r="B72" s="15" t="s">
        <v>288</v>
      </c>
      <c r="C72" s="15" t="s">
        <v>26</v>
      </c>
      <c r="D72" s="15" t="s">
        <v>289</v>
      </c>
      <c r="E72" s="15" t="s">
        <v>290</v>
      </c>
      <c r="F72" s="16">
        <v>87</v>
      </c>
      <c r="G72" s="17">
        <v>88</v>
      </c>
      <c r="H72" s="17">
        <v>94</v>
      </c>
      <c r="I72" s="18">
        <f t="shared" si="2"/>
        <v>88</v>
      </c>
      <c r="J72" s="15" t="s">
        <v>291</v>
      </c>
    </row>
    <row r="73" spans="1:10" ht="33.950000000000003" customHeight="1" x14ac:dyDescent="0.25">
      <c r="A73" s="19">
        <v>72</v>
      </c>
      <c r="B73" s="19" t="s">
        <v>292</v>
      </c>
      <c r="C73" s="19" t="s">
        <v>201</v>
      </c>
      <c r="D73" s="19" t="s">
        <v>293</v>
      </c>
      <c r="E73" s="19" t="s">
        <v>294</v>
      </c>
      <c r="F73" s="20">
        <v>87</v>
      </c>
      <c r="G73" s="21">
        <v>88</v>
      </c>
      <c r="H73" s="21">
        <v>90</v>
      </c>
      <c r="I73" s="22">
        <f t="shared" si="2"/>
        <v>88</v>
      </c>
      <c r="J73" s="19" t="s">
        <v>295</v>
      </c>
    </row>
    <row r="74" spans="1:10" ht="33.950000000000003" customHeight="1" x14ac:dyDescent="0.25">
      <c r="A74" s="15">
        <v>73</v>
      </c>
      <c r="B74" s="15" t="s">
        <v>296</v>
      </c>
      <c r="C74" s="15" t="s">
        <v>297</v>
      </c>
      <c r="D74" s="15" t="s">
        <v>298</v>
      </c>
      <c r="E74" s="15" t="s">
        <v>299</v>
      </c>
      <c r="F74" s="16">
        <v>85</v>
      </c>
      <c r="G74" s="17">
        <v>88</v>
      </c>
      <c r="H74" s="17">
        <v>98</v>
      </c>
      <c r="I74" s="18">
        <f t="shared" si="2"/>
        <v>88</v>
      </c>
      <c r="J74" s="15" t="s">
        <v>300</v>
      </c>
    </row>
    <row r="75" spans="1:10" ht="33.950000000000003" customHeight="1" x14ac:dyDescent="0.25">
      <c r="A75" s="19">
        <v>74</v>
      </c>
      <c r="B75" s="19" t="s">
        <v>301</v>
      </c>
      <c r="C75" s="19" t="s">
        <v>302</v>
      </c>
      <c r="D75" s="19" t="s">
        <v>303</v>
      </c>
      <c r="E75" s="19" t="s">
        <v>304</v>
      </c>
      <c r="F75" s="20">
        <v>84</v>
      </c>
      <c r="G75" s="21">
        <v>88</v>
      </c>
      <c r="H75" s="21">
        <v>100</v>
      </c>
      <c r="I75" s="22">
        <f t="shared" si="2"/>
        <v>88</v>
      </c>
      <c r="J75" s="19" t="s">
        <v>305</v>
      </c>
    </row>
    <row r="76" spans="1:10" ht="33.950000000000003" customHeight="1" x14ac:dyDescent="0.25">
      <c r="A76" s="15">
        <v>75</v>
      </c>
      <c r="B76" s="15" t="s">
        <v>306</v>
      </c>
      <c r="C76" s="15" t="s">
        <v>307</v>
      </c>
      <c r="D76" s="15" t="s">
        <v>308</v>
      </c>
      <c r="E76" s="15" t="s">
        <v>309</v>
      </c>
      <c r="F76" s="16">
        <v>84</v>
      </c>
      <c r="G76" s="17">
        <v>88</v>
      </c>
      <c r="H76" s="17">
        <v>100</v>
      </c>
      <c r="I76" s="18">
        <f t="shared" si="2"/>
        <v>88</v>
      </c>
      <c r="J76" s="15" t="s">
        <v>310</v>
      </c>
    </row>
    <row r="77" spans="1:10" ht="33.950000000000003" customHeight="1" x14ac:dyDescent="0.25">
      <c r="A77" s="19">
        <v>76</v>
      </c>
      <c r="B77" s="19" t="s">
        <v>311</v>
      </c>
      <c r="C77" s="19" t="s">
        <v>26</v>
      </c>
      <c r="D77" s="19" t="s">
        <v>312</v>
      </c>
      <c r="E77" s="19" t="s">
        <v>313</v>
      </c>
      <c r="F77" s="20">
        <v>93</v>
      </c>
      <c r="G77" s="21">
        <v>87</v>
      </c>
      <c r="H77" s="21">
        <v>68</v>
      </c>
      <c r="I77" s="22">
        <f t="shared" si="2"/>
        <v>87</v>
      </c>
      <c r="J77" s="19" t="s">
        <v>314</v>
      </c>
    </row>
    <row r="78" spans="1:10" ht="33.950000000000003" customHeight="1" x14ac:dyDescent="0.25">
      <c r="A78" s="15">
        <v>77</v>
      </c>
      <c r="B78" s="15" t="s">
        <v>315</v>
      </c>
      <c r="C78" s="15" t="s">
        <v>181</v>
      </c>
      <c r="D78" s="15" t="s">
        <v>123</v>
      </c>
      <c r="E78" s="15" t="s">
        <v>316</v>
      </c>
      <c r="F78" s="16">
        <v>92</v>
      </c>
      <c r="G78" s="17">
        <v>86</v>
      </c>
      <c r="H78" s="17">
        <v>72</v>
      </c>
      <c r="I78" s="18">
        <f t="shared" si="2"/>
        <v>87</v>
      </c>
      <c r="J78" s="15" t="s">
        <v>317</v>
      </c>
    </row>
    <row r="79" spans="1:10" ht="33.950000000000003" customHeight="1" x14ac:dyDescent="0.25">
      <c r="A79" s="19">
        <v>78</v>
      </c>
      <c r="B79" s="19" t="s">
        <v>318</v>
      </c>
      <c r="C79" s="19" t="s">
        <v>110</v>
      </c>
      <c r="D79" s="19" t="s">
        <v>319</v>
      </c>
      <c r="E79" s="19" t="s">
        <v>320</v>
      </c>
      <c r="F79" s="20">
        <v>91</v>
      </c>
      <c r="G79" s="21">
        <v>88</v>
      </c>
      <c r="H79" s="21">
        <v>70</v>
      </c>
      <c r="I79" s="22">
        <f t="shared" si="2"/>
        <v>87</v>
      </c>
      <c r="J79" s="19" t="s">
        <v>321</v>
      </c>
    </row>
    <row r="80" spans="1:10" ht="33.950000000000003" customHeight="1" x14ac:dyDescent="0.25">
      <c r="A80" s="15">
        <v>79</v>
      </c>
      <c r="B80" s="15" t="s">
        <v>322</v>
      </c>
      <c r="C80" s="15" t="s">
        <v>45</v>
      </c>
      <c r="D80" s="15" t="s">
        <v>94</v>
      </c>
      <c r="E80" s="15" t="s">
        <v>323</v>
      </c>
      <c r="F80" s="16">
        <v>91</v>
      </c>
      <c r="G80" s="17">
        <v>87</v>
      </c>
      <c r="H80" s="17">
        <v>72</v>
      </c>
      <c r="I80" s="18">
        <f t="shared" si="2"/>
        <v>87</v>
      </c>
      <c r="J80" s="15" t="s">
        <v>324</v>
      </c>
    </row>
    <row r="81" spans="1:10" ht="33.950000000000003" customHeight="1" x14ac:dyDescent="0.25">
      <c r="A81" s="19">
        <v>80</v>
      </c>
      <c r="B81" s="19" t="s">
        <v>325</v>
      </c>
      <c r="C81" s="19" t="s">
        <v>240</v>
      </c>
      <c r="D81" s="19" t="s">
        <v>326</v>
      </c>
      <c r="E81" s="19" t="s">
        <v>327</v>
      </c>
      <c r="F81" s="20">
        <v>91</v>
      </c>
      <c r="G81" s="21">
        <v>87</v>
      </c>
      <c r="H81" s="21">
        <v>70</v>
      </c>
      <c r="I81" s="22">
        <f t="shared" si="2"/>
        <v>87</v>
      </c>
      <c r="J81" s="19" t="s">
        <v>328</v>
      </c>
    </row>
    <row r="82" spans="1:10" ht="33.950000000000003" customHeight="1" x14ac:dyDescent="0.25">
      <c r="A82" s="15">
        <v>81</v>
      </c>
      <c r="B82" s="15" t="s">
        <v>329</v>
      </c>
      <c r="C82" s="15" t="s">
        <v>45</v>
      </c>
      <c r="D82" s="15" t="s">
        <v>32</v>
      </c>
      <c r="E82" s="15" t="s">
        <v>330</v>
      </c>
      <c r="F82" s="16">
        <v>90</v>
      </c>
      <c r="G82" s="17">
        <v>88</v>
      </c>
      <c r="H82" s="17">
        <v>75</v>
      </c>
      <c r="I82" s="18">
        <f t="shared" si="2"/>
        <v>87</v>
      </c>
      <c r="J82" s="15" t="s">
        <v>331</v>
      </c>
    </row>
    <row r="83" spans="1:10" ht="33.950000000000003" customHeight="1" x14ac:dyDescent="0.25">
      <c r="A83" s="19">
        <v>82</v>
      </c>
      <c r="B83" s="19" t="s">
        <v>332</v>
      </c>
      <c r="C83" s="19" t="s">
        <v>69</v>
      </c>
      <c r="D83" s="19" t="s">
        <v>70</v>
      </c>
      <c r="E83" s="19" t="s">
        <v>333</v>
      </c>
      <c r="F83" s="20">
        <v>90</v>
      </c>
      <c r="G83" s="21">
        <v>87</v>
      </c>
      <c r="H83" s="21">
        <v>74</v>
      </c>
      <c r="I83" s="22">
        <f t="shared" si="2"/>
        <v>87</v>
      </c>
      <c r="J83" s="19" t="s">
        <v>334</v>
      </c>
    </row>
    <row r="84" spans="1:10" ht="33.950000000000003" customHeight="1" x14ac:dyDescent="0.25">
      <c r="A84" s="15">
        <v>83</v>
      </c>
      <c r="B84" s="15" t="s">
        <v>335</v>
      </c>
      <c r="C84" s="15" t="s">
        <v>336</v>
      </c>
      <c r="D84" s="15" t="s">
        <v>265</v>
      </c>
      <c r="E84" s="15" t="s">
        <v>337</v>
      </c>
      <c r="F84" s="16">
        <v>90</v>
      </c>
      <c r="G84" s="17">
        <v>86</v>
      </c>
      <c r="H84" s="17">
        <v>75</v>
      </c>
      <c r="I84" s="18">
        <f t="shared" si="2"/>
        <v>87</v>
      </c>
      <c r="J84" s="15" t="s">
        <v>338</v>
      </c>
    </row>
    <row r="85" spans="1:10" ht="33.950000000000003" customHeight="1" x14ac:dyDescent="0.25">
      <c r="A85" s="19">
        <v>84</v>
      </c>
      <c r="B85" s="19" t="s">
        <v>339</v>
      </c>
      <c r="C85" s="19" t="s">
        <v>69</v>
      </c>
      <c r="D85" s="19" t="s">
        <v>70</v>
      </c>
      <c r="E85" s="19" t="s">
        <v>340</v>
      </c>
      <c r="F85" s="20">
        <v>89</v>
      </c>
      <c r="G85" s="21">
        <v>88</v>
      </c>
      <c r="H85" s="21">
        <v>76</v>
      </c>
      <c r="I85" s="22">
        <f t="shared" si="2"/>
        <v>87</v>
      </c>
      <c r="J85" s="19" t="s">
        <v>341</v>
      </c>
    </row>
    <row r="86" spans="1:10" ht="33.950000000000003" customHeight="1" x14ac:dyDescent="0.25">
      <c r="A86" s="15">
        <v>85</v>
      </c>
      <c r="B86" s="15" t="s">
        <v>342</v>
      </c>
      <c r="C86" s="15" t="s">
        <v>118</v>
      </c>
      <c r="D86" s="15" t="s">
        <v>343</v>
      </c>
      <c r="E86" s="15" t="s">
        <v>215</v>
      </c>
      <c r="F86" s="16">
        <v>88</v>
      </c>
      <c r="G86" s="17">
        <v>87</v>
      </c>
      <c r="H86" s="17">
        <v>84</v>
      </c>
      <c r="I86" s="18">
        <f t="shared" si="2"/>
        <v>87</v>
      </c>
      <c r="J86" s="15" t="s">
        <v>344</v>
      </c>
    </row>
    <row r="87" spans="1:10" ht="33.950000000000003" customHeight="1" x14ac:dyDescent="0.25">
      <c r="A87" s="19">
        <v>86</v>
      </c>
      <c r="B87" s="19" t="s">
        <v>345</v>
      </c>
      <c r="C87" s="19" t="s">
        <v>26</v>
      </c>
      <c r="D87" s="19" t="s">
        <v>346</v>
      </c>
      <c r="E87" s="19" t="s">
        <v>60</v>
      </c>
      <c r="F87" s="20">
        <v>88</v>
      </c>
      <c r="G87" s="21">
        <v>86</v>
      </c>
      <c r="H87" s="21">
        <v>86</v>
      </c>
      <c r="I87" s="22">
        <f t="shared" si="2"/>
        <v>87</v>
      </c>
      <c r="J87" s="19" t="s">
        <v>347</v>
      </c>
    </row>
    <row r="88" spans="1:10" ht="33.950000000000003" customHeight="1" x14ac:dyDescent="0.25">
      <c r="A88" s="15">
        <v>87</v>
      </c>
      <c r="B88" s="15" t="s">
        <v>348</v>
      </c>
      <c r="C88" s="15" t="s">
        <v>26</v>
      </c>
      <c r="D88" s="15" t="s">
        <v>349</v>
      </c>
      <c r="E88" s="15" t="s">
        <v>350</v>
      </c>
      <c r="F88" s="16">
        <v>88</v>
      </c>
      <c r="G88" s="17">
        <v>86</v>
      </c>
      <c r="H88" s="17">
        <v>86</v>
      </c>
      <c r="I88" s="18">
        <f t="shared" si="2"/>
        <v>87</v>
      </c>
      <c r="J88" s="15" t="s">
        <v>351</v>
      </c>
    </row>
    <row r="89" spans="1:10" ht="33.950000000000003" customHeight="1" x14ac:dyDescent="0.25">
      <c r="A89" s="19">
        <v>88</v>
      </c>
      <c r="B89" s="19" t="s">
        <v>352</v>
      </c>
      <c r="C89" s="19" t="s">
        <v>353</v>
      </c>
      <c r="D89" s="19" t="s">
        <v>70</v>
      </c>
      <c r="E89" s="19" t="s">
        <v>95</v>
      </c>
      <c r="F89" s="20">
        <v>87</v>
      </c>
      <c r="G89" s="21">
        <v>88</v>
      </c>
      <c r="H89" s="21">
        <v>88</v>
      </c>
      <c r="I89" s="22">
        <f t="shared" si="2"/>
        <v>87</v>
      </c>
      <c r="J89" s="19" t="s">
        <v>354</v>
      </c>
    </row>
    <row r="90" spans="1:10" ht="33.950000000000003" customHeight="1" x14ac:dyDescent="0.25">
      <c r="A90" s="15">
        <v>89</v>
      </c>
      <c r="B90" s="15" t="s">
        <v>355</v>
      </c>
      <c r="C90" s="15" t="s">
        <v>356</v>
      </c>
      <c r="D90" s="15" t="s">
        <v>357</v>
      </c>
      <c r="E90" s="15" t="s">
        <v>191</v>
      </c>
      <c r="F90" s="16">
        <v>86</v>
      </c>
      <c r="G90" s="17">
        <v>88</v>
      </c>
      <c r="H90" s="17">
        <v>86</v>
      </c>
      <c r="I90" s="18">
        <f t="shared" si="2"/>
        <v>87</v>
      </c>
      <c r="J90" s="15" t="s">
        <v>358</v>
      </c>
    </row>
    <row r="91" spans="1:10" ht="33.950000000000003" customHeight="1" x14ac:dyDescent="0.25">
      <c r="A91" s="19">
        <v>90</v>
      </c>
      <c r="B91" s="19" t="s">
        <v>359</v>
      </c>
      <c r="C91" s="19" t="s">
        <v>90</v>
      </c>
      <c r="D91" s="19" t="s">
        <v>70</v>
      </c>
      <c r="E91" s="19" t="s">
        <v>360</v>
      </c>
      <c r="F91" s="20">
        <v>91</v>
      </c>
      <c r="G91" s="21">
        <v>88</v>
      </c>
      <c r="H91" s="21">
        <v>65</v>
      </c>
      <c r="I91" s="22">
        <f t="shared" si="2"/>
        <v>86</v>
      </c>
      <c r="J91" s="19" t="s">
        <v>361</v>
      </c>
    </row>
    <row r="92" spans="1:10" ht="33.950000000000003" customHeight="1" x14ac:dyDescent="0.25">
      <c r="A92" s="15">
        <v>91</v>
      </c>
      <c r="B92" s="15" t="s">
        <v>362</v>
      </c>
      <c r="C92" s="15" t="s">
        <v>69</v>
      </c>
      <c r="D92" s="15" t="s">
        <v>94</v>
      </c>
      <c r="E92" s="15" t="s">
        <v>363</v>
      </c>
      <c r="F92" s="16">
        <v>91</v>
      </c>
      <c r="G92" s="17">
        <v>86</v>
      </c>
      <c r="H92" s="17">
        <v>67</v>
      </c>
      <c r="I92" s="18">
        <f t="shared" si="2"/>
        <v>86</v>
      </c>
      <c r="J92" s="15" t="s">
        <v>364</v>
      </c>
    </row>
    <row r="93" spans="1:10" ht="33.950000000000003" customHeight="1" x14ac:dyDescent="0.25">
      <c r="A93" s="19">
        <v>92</v>
      </c>
      <c r="B93" s="19" t="s">
        <v>365</v>
      </c>
      <c r="C93" s="19" t="s">
        <v>26</v>
      </c>
      <c r="D93" s="19" t="s">
        <v>366</v>
      </c>
      <c r="E93" s="19" t="s">
        <v>120</v>
      </c>
      <c r="F93" s="20">
        <v>90</v>
      </c>
      <c r="G93" s="21">
        <v>85</v>
      </c>
      <c r="H93" s="21">
        <v>76</v>
      </c>
      <c r="I93" s="22">
        <f t="shared" si="2"/>
        <v>86</v>
      </c>
      <c r="J93" s="19" t="s">
        <v>367</v>
      </c>
    </row>
    <row r="94" spans="1:10" ht="33.950000000000003" customHeight="1" x14ac:dyDescent="0.25">
      <c r="A94" s="15">
        <v>93</v>
      </c>
      <c r="B94" s="15" t="s">
        <v>368</v>
      </c>
      <c r="C94" s="15" t="s">
        <v>177</v>
      </c>
      <c r="D94" s="15" t="s">
        <v>369</v>
      </c>
      <c r="E94" s="15" t="s">
        <v>370</v>
      </c>
      <c r="F94" s="16">
        <v>89</v>
      </c>
      <c r="G94" s="17">
        <v>86</v>
      </c>
      <c r="H94" s="17">
        <v>78</v>
      </c>
      <c r="I94" s="18">
        <f t="shared" si="2"/>
        <v>86</v>
      </c>
      <c r="J94" s="15" t="s">
        <v>371</v>
      </c>
    </row>
    <row r="95" spans="1:10" ht="33.950000000000003" customHeight="1" x14ac:dyDescent="0.25">
      <c r="A95" s="19">
        <v>94</v>
      </c>
      <c r="B95" s="19" t="s">
        <v>372</v>
      </c>
      <c r="C95" s="19" t="s">
        <v>373</v>
      </c>
      <c r="D95" s="19" t="s">
        <v>374</v>
      </c>
      <c r="E95" s="19" t="s">
        <v>375</v>
      </c>
      <c r="F95" s="20">
        <v>89</v>
      </c>
      <c r="G95" s="21">
        <v>86</v>
      </c>
      <c r="H95" s="21">
        <v>74</v>
      </c>
      <c r="I95" s="22">
        <f t="shared" si="2"/>
        <v>86</v>
      </c>
      <c r="J95" s="19" t="s">
        <v>376</v>
      </c>
    </row>
    <row r="96" spans="1:10" ht="33.950000000000003" customHeight="1" x14ac:dyDescent="0.25">
      <c r="A96" s="15">
        <v>95</v>
      </c>
      <c r="B96" s="15" t="s">
        <v>377</v>
      </c>
      <c r="C96" s="15" t="s">
        <v>26</v>
      </c>
      <c r="D96" s="15" t="s">
        <v>378</v>
      </c>
      <c r="E96" s="15" t="s">
        <v>379</v>
      </c>
      <c r="F96" s="16">
        <v>89</v>
      </c>
      <c r="G96" s="17">
        <v>84</v>
      </c>
      <c r="H96" s="17">
        <v>79</v>
      </c>
      <c r="I96" s="18">
        <f t="shared" si="2"/>
        <v>86</v>
      </c>
      <c r="J96" s="15" t="s">
        <v>380</v>
      </c>
    </row>
    <row r="97" spans="1:10" ht="33.950000000000003" customHeight="1" x14ac:dyDescent="0.25">
      <c r="A97" s="19">
        <v>96</v>
      </c>
      <c r="B97" s="19" t="s">
        <v>381</v>
      </c>
      <c r="C97" s="19" t="s">
        <v>353</v>
      </c>
      <c r="D97" s="19" t="s">
        <v>70</v>
      </c>
      <c r="E97" s="19" t="s">
        <v>382</v>
      </c>
      <c r="F97" s="20">
        <v>87</v>
      </c>
      <c r="G97" s="21">
        <v>87</v>
      </c>
      <c r="H97" s="21">
        <v>83</v>
      </c>
      <c r="I97" s="22">
        <f t="shared" si="2"/>
        <v>86</v>
      </c>
      <c r="J97" s="19" t="s">
        <v>383</v>
      </c>
    </row>
    <row r="98" spans="1:10" ht="33.950000000000003" customHeight="1" x14ac:dyDescent="0.25">
      <c r="A98" s="15">
        <v>97</v>
      </c>
      <c r="B98" s="15" t="s">
        <v>384</v>
      </c>
      <c r="C98" s="15" t="s">
        <v>69</v>
      </c>
      <c r="D98" s="15" t="s">
        <v>22</v>
      </c>
      <c r="E98" s="15" t="s">
        <v>385</v>
      </c>
      <c r="F98" s="16">
        <v>87</v>
      </c>
      <c r="G98" s="17">
        <v>86</v>
      </c>
      <c r="H98" s="17">
        <v>84</v>
      </c>
      <c r="I98" s="18">
        <f t="shared" ref="I98:I129" si="3">ROUND(F98*0.55+G98*0.3+H98*0.15,0)</f>
        <v>86</v>
      </c>
      <c r="J98" s="15" t="s">
        <v>386</v>
      </c>
    </row>
    <row r="99" spans="1:10" ht="33.950000000000003" customHeight="1" x14ac:dyDescent="0.25">
      <c r="A99" s="19">
        <v>98</v>
      </c>
      <c r="B99" s="19" t="s">
        <v>387</v>
      </c>
      <c r="C99" s="19" t="s">
        <v>26</v>
      </c>
      <c r="D99" s="19" t="s">
        <v>388</v>
      </c>
      <c r="E99" s="19" t="s">
        <v>28</v>
      </c>
      <c r="F99" s="20">
        <v>87</v>
      </c>
      <c r="G99" s="21">
        <v>86</v>
      </c>
      <c r="H99" s="21">
        <v>82</v>
      </c>
      <c r="I99" s="22">
        <f t="shared" si="3"/>
        <v>86</v>
      </c>
      <c r="J99" s="19" t="s">
        <v>389</v>
      </c>
    </row>
    <row r="100" spans="1:10" ht="33.950000000000003" customHeight="1" x14ac:dyDescent="0.25">
      <c r="A100" s="15">
        <v>99</v>
      </c>
      <c r="B100" s="15" t="s">
        <v>390</v>
      </c>
      <c r="C100" s="15" t="s">
        <v>45</v>
      </c>
      <c r="D100" s="15" t="s">
        <v>55</v>
      </c>
      <c r="E100" s="15" t="s">
        <v>391</v>
      </c>
      <c r="F100" s="16">
        <v>87</v>
      </c>
      <c r="G100" s="17">
        <v>86</v>
      </c>
      <c r="H100" s="17">
        <v>80</v>
      </c>
      <c r="I100" s="18">
        <f t="shared" si="3"/>
        <v>86</v>
      </c>
      <c r="J100" s="15" t="s">
        <v>392</v>
      </c>
    </row>
    <row r="101" spans="1:10" ht="33.950000000000003" customHeight="1" x14ac:dyDescent="0.25">
      <c r="A101" s="19">
        <v>100</v>
      </c>
      <c r="B101" s="19" t="s">
        <v>393</v>
      </c>
      <c r="C101" s="19" t="s">
        <v>86</v>
      </c>
      <c r="D101" s="19" t="s">
        <v>394</v>
      </c>
      <c r="E101" s="19" t="s">
        <v>395</v>
      </c>
      <c r="F101" s="20">
        <v>87</v>
      </c>
      <c r="G101" s="21">
        <v>85</v>
      </c>
      <c r="H101" s="21">
        <v>84</v>
      </c>
      <c r="I101" s="22">
        <f t="shared" si="3"/>
        <v>86</v>
      </c>
      <c r="J101" s="19" t="s">
        <v>396</v>
      </c>
    </row>
    <row r="102" spans="1:10" ht="33.950000000000003" customHeight="1" x14ac:dyDescent="0.25">
      <c r="A102" s="15">
        <v>101</v>
      </c>
      <c r="B102" s="15" t="s">
        <v>397</v>
      </c>
      <c r="C102" s="15" t="s">
        <v>26</v>
      </c>
      <c r="D102" s="15" t="s">
        <v>398</v>
      </c>
      <c r="E102" s="15" t="s">
        <v>399</v>
      </c>
      <c r="F102" s="16">
        <v>87</v>
      </c>
      <c r="G102" s="17">
        <v>84</v>
      </c>
      <c r="H102" s="17">
        <v>85</v>
      </c>
      <c r="I102" s="18">
        <f t="shared" si="3"/>
        <v>86</v>
      </c>
      <c r="J102" s="15" t="s">
        <v>400</v>
      </c>
    </row>
    <row r="103" spans="1:10" ht="33.950000000000003" customHeight="1" x14ac:dyDescent="0.25">
      <c r="A103" s="19">
        <v>102</v>
      </c>
      <c r="B103" s="19" t="s">
        <v>401</v>
      </c>
      <c r="C103" s="19" t="s">
        <v>69</v>
      </c>
      <c r="D103" s="19" t="s">
        <v>51</v>
      </c>
      <c r="E103" s="19" t="s">
        <v>402</v>
      </c>
      <c r="F103" s="20">
        <v>86</v>
      </c>
      <c r="G103" s="21">
        <v>88</v>
      </c>
      <c r="H103" s="21">
        <v>80</v>
      </c>
      <c r="I103" s="22">
        <f t="shared" si="3"/>
        <v>86</v>
      </c>
      <c r="J103" s="19" t="s">
        <v>403</v>
      </c>
    </row>
    <row r="104" spans="1:10" ht="33.950000000000003" customHeight="1" x14ac:dyDescent="0.25">
      <c r="A104" s="15">
        <v>103</v>
      </c>
      <c r="B104" s="15" t="s">
        <v>404</v>
      </c>
      <c r="C104" s="15" t="s">
        <v>69</v>
      </c>
      <c r="D104" s="15" t="s">
        <v>405</v>
      </c>
      <c r="E104" s="15" t="s">
        <v>406</v>
      </c>
      <c r="F104" s="16">
        <v>86</v>
      </c>
      <c r="G104" s="17">
        <v>87</v>
      </c>
      <c r="H104" s="17">
        <v>84</v>
      </c>
      <c r="I104" s="18">
        <f t="shared" si="3"/>
        <v>86</v>
      </c>
      <c r="J104" s="15" t="s">
        <v>407</v>
      </c>
    </row>
    <row r="105" spans="1:10" ht="33.950000000000003" customHeight="1" x14ac:dyDescent="0.25">
      <c r="A105" s="19">
        <v>104</v>
      </c>
      <c r="B105" s="19" t="s">
        <v>408</v>
      </c>
      <c r="C105" s="19" t="s">
        <v>127</v>
      </c>
      <c r="D105" s="19" t="s">
        <v>55</v>
      </c>
      <c r="E105" s="19" t="s">
        <v>409</v>
      </c>
      <c r="F105" s="20">
        <v>86</v>
      </c>
      <c r="G105" s="21">
        <v>87</v>
      </c>
      <c r="H105" s="21">
        <v>84</v>
      </c>
      <c r="I105" s="22">
        <f t="shared" si="3"/>
        <v>86</v>
      </c>
      <c r="J105" s="19" t="s">
        <v>410</v>
      </c>
    </row>
    <row r="106" spans="1:10" ht="33.950000000000003" customHeight="1" x14ac:dyDescent="0.25">
      <c r="A106" s="15">
        <v>105</v>
      </c>
      <c r="B106" s="15" t="s">
        <v>411</v>
      </c>
      <c r="C106" s="15" t="s">
        <v>118</v>
      </c>
      <c r="D106" s="15" t="s">
        <v>412</v>
      </c>
      <c r="E106" s="15" t="s">
        <v>413</v>
      </c>
      <c r="F106" s="16">
        <v>86</v>
      </c>
      <c r="G106" s="17">
        <v>87</v>
      </c>
      <c r="H106" s="17">
        <v>82</v>
      </c>
      <c r="I106" s="18">
        <f t="shared" si="3"/>
        <v>86</v>
      </c>
      <c r="J106" s="15" t="s">
        <v>414</v>
      </c>
    </row>
    <row r="107" spans="1:10" ht="33.950000000000003" customHeight="1" x14ac:dyDescent="0.25">
      <c r="A107" s="19">
        <v>106</v>
      </c>
      <c r="B107" s="19" t="s">
        <v>415</v>
      </c>
      <c r="C107" s="19" t="s">
        <v>201</v>
      </c>
      <c r="D107" s="19" t="s">
        <v>416</v>
      </c>
      <c r="E107" s="19" t="s">
        <v>363</v>
      </c>
      <c r="F107" s="20">
        <v>86</v>
      </c>
      <c r="G107" s="21">
        <v>84</v>
      </c>
      <c r="H107" s="21">
        <v>88</v>
      </c>
      <c r="I107" s="22">
        <f t="shared" si="3"/>
        <v>86</v>
      </c>
      <c r="J107" s="19" t="s">
        <v>417</v>
      </c>
    </row>
    <row r="108" spans="1:10" ht="33.950000000000003" customHeight="1" x14ac:dyDescent="0.25">
      <c r="A108" s="15">
        <v>107</v>
      </c>
      <c r="B108" s="15" t="s">
        <v>418</v>
      </c>
      <c r="C108" s="15" t="s">
        <v>45</v>
      </c>
      <c r="D108" s="15" t="s">
        <v>419</v>
      </c>
      <c r="E108" s="15" t="s">
        <v>420</v>
      </c>
      <c r="F108" s="16">
        <v>85</v>
      </c>
      <c r="G108" s="17">
        <v>87</v>
      </c>
      <c r="H108" s="17">
        <v>90</v>
      </c>
      <c r="I108" s="18">
        <f t="shared" si="3"/>
        <v>86</v>
      </c>
      <c r="J108" s="15" t="s">
        <v>421</v>
      </c>
    </row>
    <row r="109" spans="1:10" ht="33.950000000000003" customHeight="1" x14ac:dyDescent="0.25">
      <c r="A109" s="19">
        <v>108</v>
      </c>
      <c r="B109" s="19" t="s">
        <v>422</v>
      </c>
      <c r="C109" s="19" t="s">
        <v>69</v>
      </c>
      <c r="D109" s="19" t="s">
        <v>51</v>
      </c>
      <c r="E109" s="19" t="s">
        <v>423</v>
      </c>
      <c r="F109" s="20">
        <v>91</v>
      </c>
      <c r="G109" s="21">
        <v>88</v>
      </c>
      <c r="H109" s="21">
        <v>58</v>
      </c>
      <c r="I109" s="22">
        <f t="shared" si="3"/>
        <v>85</v>
      </c>
      <c r="J109" s="19" t="s">
        <v>424</v>
      </c>
    </row>
    <row r="110" spans="1:10" ht="33.950000000000003" customHeight="1" x14ac:dyDescent="0.25">
      <c r="A110" s="15">
        <v>109</v>
      </c>
      <c r="B110" s="15" t="s">
        <v>425</v>
      </c>
      <c r="C110" s="15" t="s">
        <v>26</v>
      </c>
      <c r="D110" s="15" t="s">
        <v>426</v>
      </c>
      <c r="E110" s="15" t="s">
        <v>427</v>
      </c>
      <c r="F110" s="16">
        <v>91</v>
      </c>
      <c r="G110" s="17">
        <v>86</v>
      </c>
      <c r="H110" s="17">
        <v>62</v>
      </c>
      <c r="I110" s="18">
        <f t="shared" si="3"/>
        <v>85</v>
      </c>
      <c r="J110" s="15" t="s">
        <v>428</v>
      </c>
    </row>
    <row r="111" spans="1:10" ht="33.950000000000003" customHeight="1" x14ac:dyDescent="0.25">
      <c r="A111" s="19">
        <v>110</v>
      </c>
      <c r="B111" s="19" t="s">
        <v>429</v>
      </c>
      <c r="C111" s="19" t="s">
        <v>21</v>
      </c>
      <c r="D111" s="19" t="s">
        <v>119</v>
      </c>
      <c r="E111" s="19" t="s">
        <v>430</v>
      </c>
      <c r="F111" s="20">
        <v>90</v>
      </c>
      <c r="G111" s="21">
        <v>84</v>
      </c>
      <c r="H111" s="21">
        <v>68</v>
      </c>
      <c r="I111" s="22">
        <f t="shared" si="3"/>
        <v>85</v>
      </c>
      <c r="J111" s="19" t="s">
        <v>431</v>
      </c>
    </row>
    <row r="112" spans="1:10" ht="33.950000000000003" customHeight="1" x14ac:dyDescent="0.25">
      <c r="A112" s="15">
        <v>111</v>
      </c>
      <c r="B112" s="15" t="s">
        <v>432</v>
      </c>
      <c r="C112" s="15" t="s">
        <v>45</v>
      </c>
      <c r="D112" s="15" t="s">
        <v>433</v>
      </c>
      <c r="E112" s="15" t="s">
        <v>385</v>
      </c>
      <c r="F112" s="16">
        <v>88</v>
      </c>
      <c r="G112" s="17">
        <v>84</v>
      </c>
      <c r="H112" s="17">
        <v>76</v>
      </c>
      <c r="I112" s="18">
        <f t="shared" si="3"/>
        <v>85</v>
      </c>
      <c r="J112" s="15" t="s">
        <v>434</v>
      </c>
    </row>
    <row r="113" spans="1:10" ht="33.950000000000003" customHeight="1" x14ac:dyDescent="0.25">
      <c r="A113" s="19">
        <v>112</v>
      </c>
      <c r="B113" s="19" t="s">
        <v>435</v>
      </c>
      <c r="C113" s="19" t="s">
        <v>26</v>
      </c>
      <c r="D113" s="19" t="s">
        <v>436</v>
      </c>
      <c r="E113" s="19" t="s">
        <v>437</v>
      </c>
      <c r="F113" s="20">
        <v>88</v>
      </c>
      <c r="G113" s="21">
        <v>84</v>
      </c>
      <c r="H113" s="21">
        <v>74</v>
      </c>
      <c r="I113" s="22">
        <f t="shared" si="3"/>
        <v>85</v>
      </c>
      <c r="J113" s="19" t="s">
        <v>438</v>
      </c>
    </row>
    <row r="114" spans="1:10" ht="33.950000000000003" customHeight="1" x14ac:dyDescent="0.25">
      <c r="A114" s="15">
        <v>113</v>
      </c>
      <c r="B114" s="15" t="s">
        <v>439</v>
      </c>
      <c r="C114" s="15" t="s">
        <v>90</v>
      </c>
      <c r="D114" s="15" t="s">
        <v>440</v>
      </c>
      <c r="E114" s="15" t="s">
        <v>441</v>
      </c>
      <c r="F114" s="16">
        <v>87</v>
      </c>
      <c r="G114" s="17">
        <v>85</v>
      </c>
      <c r="H114" s="17">
        <v>75</v>
      </c>
      <c r="I114" s="18">
        <f t="shared" si="3"/>
        <v>85</v>
      </c>
      <c r="J114" s="15" t="s">
        <v>442</v>
      </c>
    </row>
    <row r="115" spans="1:10" ht="33.950000000000003" customHeight="1" x14ac:dyDescent="0.25">
      <c r="A115" s="19">
        <v>114</v>
      </c>
      <c r="B115" s="19" t="s">
        <v>443</v>
      </c>
      <c r="C115" s="19" t="s">
        <v>26</v>
      </c>
      <c r="D115" s="19" t="s">
        <v>51</v>
      </c>
      <c r="E115" s="19" t="s">
        <v>444</v>
      </c>
      <c r="F115" s="20">
        <v>86</v>
      </c>
      <c r="G115" s="21">
        <v>87</v>
      </c>
      <c r="H115" s="21">
        <v>78</v>
      </c>
      <c r="I115" s="22">
        <f t="shared" si="3"/>
        <v>85</v>
      </c>
      <c r="J115" s="19" t="s">
        <v>445</v>
      </c>
    </row>
    <row r="116" spans="1:10" ht="33.950000000000003" customHeight="1" x14ac:dyDescent="0.25">
      <c r="A116" s="15">
        <v>115</v>
      </c>
      <c r="B116" s="15" t="s">
        <v>446</v>
      </c>
      <c r="C116" s="15" t="s">
        <v>101</v>
      </c>
      <c r="D116" s="15" t="s">
        <v>55</v>
      </c>
      <c r="E116" s="15" t="s">
        <v>33</v>
      </c>
      <c r="F116" s="16">
        <v>86</v>
      </c>
      <c r="G116" s="17">
        <v>87</v>
      </c>
      <c r="H116" s="17">
        <v>78</v>
      </c>
      <c r="I116" s="18">
        <f t="shared" si="3"/>
        <v>85</v>
      </c>
      <c r="J116" s="15" t="s">
        <v>447</v>
      </c>
    </row>
    <row r="117" spans="1:10" ht="33.950000000000003" customHeight="1" x14ac:dyDescent="0.25">
      <c r="A117" s="19">
        <v>116</v>
      </c>
      <c r="B117" s="19" t="s">
        <v>448</v>
      </c>
      <c r="C117" s="19" t="s">
        <v>45</v>
      </c>
      <c r="D117" s="19" t="s">
        <v>449</v>
      </c>
      <c r="E117" s="19" t="s">
        <v>191</v>
      </c>
      <c r="F117" s="20">
        <v>86</v>
      </c>
      <c r="G117" s="21">
        <v>86</v>
      </c>
      <c r="H117" s="21">
        <v>79</v>
      </c>
      <c r="I117" s="22">
        <f t="shared" si="3"/>
        <v>85</v>
      </c>
      <c r="J117" s="19" t="s">
        <v>450</v>
      </c>
    </row>
    <row r="118" spans="1:10" ht="33.950000000000003" customHeight="1" x14ac:dyDescent="0.25">
      <c r="A118" s="15">
        <v>117</v>
      </c>
      <c r="B118" s="15" t="s">
        <v>451</v>
      </c>
      <c r="C118" s="15" t="s">
        <v>452</v>
      </c>
      <c r="D118" s="15" t="s">
        <v>453</v>
      </c>
      <c r="E118" s="15" t="s">
        <v>454</v>
      </c>
      <c r="F118" s="16">
        <v>86</v>
      </c>
      <c r="G118" s="17">
        <v>84</v>
      </c>
      <c r="H118" s="17">
        <v>86</v>
      </c>
      <c r="I118" s="18">
        <f t="shared" si="3"/>
        <v>85</v>
      </c>
      <c r="J118" s="15" t="s">
        <v>455</v>
      </c>
    </row>
    <row r="119" spans="1:10" ht="33.950000000000003" customHeight="1" x14ac:dyDescent="0.25">
      <c r="A119" s="19">
        <v>118</v>
      </c>
      <c r="B119" s="19" t="s">
        <v>456</v>
      </c>
      <c r="C119" s="19" t="s">
        <v>26</v>
      </c>
      <c r="D119" s="19" t="s">
        <v>457</v>
      </c>
      <c r="E119" s="19" t="s">
        <v>458</v>
      </c>
      <c r="F119" s="20">
        <v>86</v>
      </c>
      <c r="G119" s="21">
        <v>83</v>
      </c>
      <c r="H119" s="21">
        <v>86</v>
      </c>
      <c r="I119" s="22">
        <f t="shared" si="3"/>
        <v>85</v>
      </c>
      <c r="J119" s="19" t="s">
        <v>459</v>
      </c>
    </row>
    <row r="120" spans="1:10" ht="33.950000000000003" customHeight="1" x14ac:dyDescent="0.25">
      <c r="A120" s="15">
        <v>119</v>
      </c>
      <c r="B120" s="15" t="s">
        <v>460</v>
      </c>
      <c r="C120" s="15" t="s">
        <v>336</v>
      </c>
      <c r="D120" s="15" t="s">
        <v>461</v>
      </c>
      <c r="E120" s="15" t="s">
        <v>37</v>
      </c>
      <c r="F120" s="16">
        <v>85</v>
      </c>
      <c r="G120" s="17">
        <v>84</v>
      </c>
      <c r="H120" s="17">
        <v>84</v>
      </c>
      <c r="I120" s="18">
        <f t="shared" si="3"/>
        <v>85</v>
      </c>
      <c r="J120" s="15" t="s">
        <v>462</v>
      </c>
    </row>
    <row r="121" spans="1:10" ht="33.950000000000003" customHeight="1" x14ac:dyDescent="0.25">
      <c r="A121" s="19">
        <v>120</v>
      </c>
      <c r="B121" s="19" t="s">
        <v>463</v>
      </c>
      <c r="C121" s="19" t="s">
        <v>177</v>
      </c>
      <c r="D121" s="19" t="s">
        <v>464</v>
      </c>
      <c r="E121" s="19" t="s">
        <v>465</v>
      </c>
      <c r="F121" s="20">
        <v>85</v>
      </c>
      <c r="G121" s="21">
        <v>84</v>
      </c>
      <c r="H121" s="21">
        <v>84</v>
      </c>
      <c r="I121" s="22">
        <f t="shared" si="3"/>
        <v>85</v>
      </c>
      <c r="J121" s="19" t="s">
        <v>466</v>
      </c>
    </row>
    <row r="122" spans="1:10" ht="33.950000000000003" customHeight="1" x14ac:dyDescent="0.25">
      <c r="A122" s="15">
        <v>121</v>
      </c>
      <c r="B122" s="15" t="s">
        <v>467</v>
      </c>
      <c r="C122" s="15" t="s">
        <v>118</v>
      </c>
      <c r="D122" s="15" t="s">
        <v>468</v>
      </c>
      <c r="E122" s="15" t="s">
        <v>469</v>
      </c>
      <c r="F122" s="16">
        <v>84</v>
      </c>
      <c r="G122" s="17">
        <v>84</v>
      </c>
      <c r="H122" s="17">
        <v>88</v>
      </c>
      <c r="I122" s="18">
        <f t="shared" si="3"/>
        <v>85</v>
      </c>
      <c r="J122" s="15" t="s">
        <v>470</v>
      </c>
    </row>
    <row r="123" spans="1:10" ht="33.950000000000003" customHeight="1" x14ac:dyDescent="0.25">
      <c r="A123" s="19">
        <v>122</v>
      </c>
      <c r="B123" s="19" t="s">
        <v>471</v>
      </c>
      <c r="C123" s="19" t="s">
        <v>101</v>
      </c>
      <c r="D123" s="19" t="s">
        <v>472</v>
      </c>
      <c r="E123" s="19" t="s">
        <v>473</v>
      </c>
      <c r="F123" s="20">
        <v>84</v>
      </c>
      <c r="G123" s="21">
        <v>83</v>
      </c>
      <c r="H123" s="21">
        <v>91</v>
      </c>
      <c r="I123" s="22">
        <f t="shared" si="3"/>
        <v>85</v>
      </c>
      <c r="J123" s="19" t="s">
        <v>474</v>
      </c>
    </row>
    <row r="124" spans="1:10" ht="33.950000000000003" customHeight="1" x14ac:dyDescent="0.25">
      <c r="A124" s="15">
        <v>123</v>
      </c>
      <c r="B124" s="15" t="s">
        <v>475</v>
      </c>
      <c r="C124" s="15" t="s">
        <v>45</v>
      </c>
      <c r="D124" s="15" t="s">
        <v>476</v>
      </c>
      <c r="E124" s="15" t="s">
        <v>477</v>
      </c>
      <c r="F124" s="16">
        <v>83</v>
      </c>
      <c r="G124" s="17">
        <v>88</v>
      </c>
      <c r="H124" s="17">
        <v>89</v>
      </c>
      <c r="I124" s="18">
        <f t="shared" si="3"/>
        <v>85</v>
      </c>
      <c r="J124" s="15" t="s">
        <v>478</v>
      </c>
    </row>
    <row r="125" spans="1:10" ht="33.950000000000003" customHeight="1" x14ac:dyDescent="0.25">
      <c r="A125" s="19">
        <v>124</v>
      </c>
      <c r="B125" s="19" t="s">
        <v>479</v>
      </c>
      <c r="C125" s="19" t="s">
        <v>269</v>
      </c>
      <c r="D125" s="19" t="s">
        <v>55</v>
      </c>
      <c r="E125" s="19" t="s">
        <v>33</v>
      </c>
      <c r="F125" s="20">
        <v>88</v>
      </c>
      <c r="G125" s="21">
        <v>84</v>
      </c>
      <c r="H125" s="21">
        <v>72</v>
      </c>
      <c r="I125" s="22">
        <f t="shared" si="3"/>
        <v>84</v>
      </c>
      <c r="J125" s="19" t="s">
        <v>480</v>
      </c>
    </row>
    <row r="126" spans="1:10" ht="33.950000000000003" customHeight="1" x14ac:dyDescent="0.25">
      <c r="A126" s="15">
        <v>125</v>
      </c>
      <c r="B126" s="15" t="s">
        <v>481</v>
      </c>
      <c r="C126" s="15" t="s">
        <v>36</v>
      </c>
      <c r="D126" s="15" t="s">
        <v>22</v>
      </c>
      <c r="E126" s="15" t="s">
        <v>482</v>
      </c>
      <c r="F126" s="16">
        <v>88</v>
      </c>
      <c r="G126" s="17">
        <v>84</v>
      </c>
      <c r="H126" s="17">
        <v>66</v>
      </c>
      <c r="I126" s="18">
        <f t="shared" si="3"/>
        <v>84</v>
      </c>
      <c r="J126" s="15" t="s">
        <v>483</v>
      </c>
    </row>
    <row r="127" spans="1:10" ht="33.950000000000003" customHeight="1" x14ac:dyDescent="0.25">
      <c r="A127" s="19">
        <v>126</v>
      </c>
      <c r="B127" s="19" t="s">
        <v>484</v>
      </c>
      <c r="C127" s="19" t="s">
        <v>31</v>
      </c>
      <c r="D127" s="19" t="s">
        <v>22</v>
      </c>
      <c r="E127" s="19" t="s">
        <v>174</v>
      </c>
      <c r="F127" s="20">
        <v>88</v>
      </c>
      <c r="G127" s="21">
        <v>83</v>
      </c>
      <c r="H127" s="21">
        <v>70</v>
      </c>
      <c r="I127" s="22">
        <f t="shared" si="3"/>
        <v>84</v>
      </c>
      <c r="J127" s="19" t="s">
        <v>485</v>
      </c>
    </row>
    <row r="128" spans="1:10" ht="33.950000000000003" customHeight="1" x14ac:dyDescent="0.25">
      <c r="A128" s="15">
        <v>127</v>
      </c>
      <c r="B128" s="15" t="s">
        <v>486</v>
      </c>
      <c r="C128" s="15" t="s">
        <v>45</v>
      </c>
      <c r="D128" s="15" t="s">
        <v>119</v>
      </c>
      <c r="E128" s="15" t="s">
        <v>375</v>
      </c>
      <c r="F128" s="16">
        <v>87</v>
      </c>
      <c r="G128" s="17">
        <v>84</v>
      </c>
      <c r="H128" s="17">
        <v>70</v>
      </c>
      <c r="I128" s="18">
        <f t="shared" si="3"/>
        <v>84</v>
      </c>
      <c r="J128" s="15" t="s">
        <v>487</v>
      </c>
    </row>
    <row r="129" spans="1:10" ht="33.950000000000003" customHeight="1" x14ac:dyDescent="0.25">
      <c r="A129" s="19">
        <v>128</v>
      </c>
      <c r="B129" s="19" t="s">
        <v>488</v>
      </c>
      <c r="C129" s="19" t="s">
        <v>142</v>
      </c>
      <c r="D129" s="19" t="s">
        <v>22</v>
      </c>
      <c r="E129" s="19" t="s">
        <v>489</v>
      </c>
      <c r="F129" s="20">
        <v>86</v>
      </c>
      <c r="G129" s="21">
        <v>86</v>
      </c>
      <c r="H129" s="21">
        <v>73</v>
      </c>
      <c r="I129" s="22">
        <f t="shared" si="3"/>
        <v>84</v>
      </c>
      <c r="J129" s="19" t="s">
        <v>490</v>
      </c>
    </row>
    <row r="130" spans="1:10" ht="33.950000000000003" customHeight="1" x14ac:dyDescent="0.25">
      <c r="A130" s="15">
        <v>129</v>
      </c>
      <c r="B130" s="15" t="s">
        <v>491</v>
      </c>
      <c r="C130" s="15" t="s">
        <v>31</v>
      </c>
      <c r="D130" s="15" t="s">
        <v>492</v>
      </c>
      <c r="E130" s="15" t="s">
        <v>493</v>
      </c>
      <c r="F130" s="16">
        <v>86</v>
      </c>
      <c r="G130" s="17">
        <v>84</v>
      </c>
      <c r="H130" s="17">
        <v>77</v>
      </c>
      <c r="I130" s="18">
        <f t="shared" ref="I130:I161" si="4">ROUND(F130*0.55+G130*0.3+H130*0.15,0)</f>
        <v>84</v>
      </c>
      <c r="J130" s="15" t="s">
        <v>494</v>
      </c>
    </row>
    <row r="131" spans="1:10" ht="33.950000000000003" customHeight="1" x14ac:dyDescent="0.25">
      <c r="A131" s="19">
        <v>130</v>
      </c>
      <c r="B131" s="19" t="s">
        <v>495</v>
      </c>
      <c r="C131" s="19" t="s">
        <v>26</v>
      </c>
      <c r="D131" s="19" t="s">
        <v>496</v>
      </c>
      <c r="E131" s="19" t="s">
        <v>497</v>
      </c>
      <c r="F131" s="20">
        <v>86</v>
      </c>
      <c r="G131" s="21">
        <v>83</v>
      </c>
      <c r="H131" s="21">
        <v>81</v>
      </c>
      <c r="I131" s="22">
        <f t="shared" si="4"/>
        <v>84</v>
      </c>
      <c r="J131" s="19" t="s">
        <v>498</v>
      </c>
    </row>
    <row r="132" spans="1:10" ht="33.950000000000003" customHeight="1" x14ac:dyDescent="0.25">
      <c r="A132" s="15">
        <v>131</v>
      </c>
      <c r="B132" s="15" t="s">
        <v>499</v>
      </c>
      <c r="C132" s="15" t="s">
        <v>500</v>
      </c>
      <c r="D132" s="15" t="s">
        <v>501</v>
      </c>
      <c r="E132" s="15" t="s">
        <v>262</v>
      </c>
      <c r="F132" s="16">
        <v>86</v>
      </c>
      <c r="G132" s="17">
        <v>83</v>
      </c>
      <c r="H132" s="17">
        <v>80</v>
      </c>
      <c r="I132" s="18">
        <f t="shared" si="4"/>
        <v>84</v>
      </c>
      <c r="J132" s="15" t="s">
        <v>502</v>
      </c>
    </row>
    <row r="133" spans="1:10" ht="33.950000000000003" customHeight="1" x14ac:dyDescent="0.25">
      <c r="A133" s="19">
        <v>132</v>
      </c>
      <c r="B133" s="19" t="s">
        <v>503</v>
      </c>
      <c r="C133" s="19" t="s">
        <v>127</v>
      </c>
      <c r="D133" s="19" t="s">
        <v>504</v>
      </c>
      <c r="E133" s="19" t="s">
        <v>33</v>
      </c>
      <c r="F133" s="20">
        <v>86</v>
      </c>
      <c r="G133" s="21">
        <v>83</v>
      </c>
      <c r="H133" s="21">
        <v>78</v>
      </c>
      <c r="I133" s="22">
        <f t="shared" si="4"/>
        <v>84</v>
      </c>
      <c r="J133" s="19" t="s">
        <v>505</v>
      </c>
    </row>
    <row r="134" spans="1:10" ht="33.950000000000003" customHeight="1" x14ac:dyDescent="0.25">
      <c r="A134" s="15">
        <v>133</v>
      </c>
      <c r="B134" s="15" t="s">
        <v>506</v>
      </c>
      <c r="C134" s="15" t="s">
        <v>101</v>
      </c>
      <c r="D134" s="15" t="s">
        <v>214</v>
      </c>
      <c r="E134" s="15" t="s">
        <v>178</v>
      </c>
      <c r="F134" s="16">
        <v>85</v>
      </c>
      <c r="G134" s="17">
        <v>86</v>
      </c>
      <c r="H134" s="17">
        <v>76</v>
      </c>
      <c r="I134" s="18">
        <f t="shared" si="4"/>
        <v>84</v>
      </c>
      <c r="J134" s="15" t="s">
        <v>507</v>
      </c>
    </row>
    <row r="135" spans="1:10" ht="33.950000000000003" customHeight="1" x14ac:dyDescent="0.25">
      <c r="A135" s="19">
        <v>134</v>
      </c>
      <c r="B135" s="19" t="s">
        <v>508</v>
      </c>
      <c r="C135" s="19" t="s">
        <v>509</v>
      </c>
      <c r="D135" s="19" t="s">
        <v>510</v>
      </c>
      <c r="E135" s="19" t="s">
        <v>511</v>
      </c>
      <c r="F135" s="20">
        <v>85</v>
      </c>
      <c r="G135" s="21">
        <v>85</v>
      </c>
      <c r="H135" s="21">
        <v>80</v>
      </c>
      <c r="I135" s="22">
        <f t="shared" si="4"/>
        <v>84</v>
      </c>
      <c r="J135" s="19" t="s">
        <v>512</v>
      </c>
    </row>
    <row r="136" spans="1:10" ht="33.950000000000003" customHeight="1" x14ac:dyDescent="0.25">
      <c r="A136" s="15">
        <v>135</v>
      </c>
      <c r="B136" s="15" t="s">
        <v>513</v>
      </c>
      <c r="C136" s="15" t="s">
        <v>514</v>
      </c>
      <c r="D136" s="15" t="s">
        <v>94</v>
      </c>
      <c r="E136" s="15" t="s">
        <v>515</v>
      </c>
      <c r="F136" s="16">
        <v>85</v>
      </c>
      <c r="G136" s="17">
        <v>83</v>
      </c>
      <c r="H136" s="17">
        <v>80</v>
      </c>
      <c r="I136" s="18">
        <f t="shared" si="4"/>
        <v>84</v>
      </c>
      <c r="J136" s="15" t="s">
        <v>516</v>
      </c>
    </row>
    <row r="137" spans="1:10" ht="33.950000000000003" customHeight="1" x14ac:dyDescent="0.25">
      <c r="A137" s="19">
        <v>136</v>
      </c>
      <c r="B137" s="19" t="s">
        <v>517</v>
      </c>
      <c r="C137" s="19" t="s">
        <v>45</v>
      </c>
      <c r="D137" s="19" t="s">
        <v>22</v>
      </c>
      <c r="E137" s="19" t="s">
        <v>156</v>
      </c>
      <c r="F137" s="20">
        <v>85</v>
      </c>
      <c r="G137" s="21">
        <v>82</v>
      </c>
      <c r="H137" s="21">
        <v>82</v>
      </c>
      <c r="I137" s="22">
        <f t="shared" si="4"/>
        <v>84</v>
      </c>
      <c r="J137" s="19" t="s">
        <v>518</v>
      </c>
    </row>
    <row r="138" spans="1:10" ht="33.950000000000003" customHeight="1" x14ac:dyDescent="0.25">
      <c r="A138" s="15">
        <v>137</v>
      </c>
      <c r="B138" s="15" t="s">
        <v>519</v>
      </c>
      <c r="C138" s="15" t="s">
        <v>26</v>
      </c>
      <c r="D138" s="15" t="s">
        <v>520</v>
      </c>
      <c r="E138" s="15" t="s">
        <v>521</v>
      </c>
      <c r="F138" s="16">
        <v>84</v>
      </c>
      <c r="G138" s="17">
        <v>86</v>
      </c>
      <c r="H138" s="17">
        <v>82</v>
      </c>
      <c r="I138" s="18">
        <f t="shared" si="4"/>
        <v>84</v>
      </c>
      <c r="J138" s="15" t="s">
        <v>522</v>
      </c>
    </row>
    <row r="139" spans="1:10" ht="33.950000000000003" customHeight="1" x14ac:dyDescent="0.25">
      <c r="A139" s="19">
        <v>138</v>
      </c>
      <c r="B139" s="19" t="s">
        <v>523</v>
      </c>
      <c r="C139" s="19" t="s">
        <v>228</v>
      </c>
      <c r="D139" s="19" t="s">
        <v>524</v>
      </c>
      <c r="E139" s="19" t="s">
        <v>525</v>
      </c>
      <c r="F139" s="20">
        <v>84</v>
      </c>
      <c r="G139" s="21">
        <v>85</v>
      </c>
      <c r="H139" s="21">
        <v>83</v>
      </c>
      <c r="I139" s="22">
        <f t="shared" si="4"/>
        <v>84</v>
      </c>
      <c r="J139" s="19" t="s">
        <v>526</v>
      </c>
    </row>
    <row r="140" spans="1:10" ht="33.950000000000003" customHeight="1" x14ac:dyDescent="0.25">
      <c r="A140" s="15">
        <v>139</v>
      </c>
      <c r="B140" s="15" t="s">
        <v>527</v>
      </c>
      <c r="C140" s="15" t="s">
        <v>69</v>
      </c>
      <c r="D140" s="15" t="s">
        <v>32</v>
      </c>
      <c r="E140" s="15" t="s">
        <v>528</v>
      </c>
      <c r="F140" s="16">
        <v>84</v>
      </c>
      <c r="G140" s="17">
        <v>85</v>
      </c>
      <c r="H140" s="17">
        <v>82</v>
      </c>
      <c r="I140" s="18">
        <f t="shared" si="4"/>
        <v>84</v>
      </c>
      <c r="J140" s="15" t="s">
        <v>529</v>
      </c>
    </row>
    <row r="141" spans="1:10" ht="33.950000000000003" customHeight="1" x14ac:dyDescent="0.25">
      <c r="A141" s="19">
        <v>140</v>
      </c>
      <c r="B141" s="19" t="s">
        <v>530</v>
      </c>
      <c r="C141" s="19" t="s">
        <v>531</v>
      </c>
      <c r="D141" s="19" t="s">
        <v>532</v>
      </c>
      <c r="E141" s="19" t="s">
        <v>533</v>
      </c>
      <c r="F141" s="20">
        <v>84</v>
      </c>
      <c r="G141" s="21">
        <v>84</v>
      </c>
      <c r="H141" s="21">
        <v>87</v>
      </c>
      <c r="I141" s="22">
        <f t="shared" si="4"/>
        <v>84</v>
      </c>
      <c r="J141" s="19" t="s">
        <v>534</v>
      </c>
    </row>
    <row r="142" spans="1:10" ht="33.950000000000003" customHeight="1" x14ac:dyDescent="0.25">
      <c r="A142" s="15">
        <v>141</v>
      </c>
      <c r="B142" s="15" t="s">
        <v>535</v>
      </c>
      <c r="C142" s="15" t="s">
        <v>69</v>
      </c>
      <c r="D142" s="15" t="s">
        <v>536</v>
      </c>
      <c r="E142" s="15" t="s">
        <v>537</v>
      </c>
      <c r="F142" s="16">
        <v>84</v>
      </c>
      <c r="G142" s="17">
        <v>84</v>
      </c>
      <c r="H142" s="17">
        <v>85</v>
      </c>
      <c r="I142" s="18">
        <f t="shared" si="4"/>
        <v>84</v>
      </c>
      <c r="J142" s="15" t="s">
        <v>538</v>
      </c>
    </row>
    <row r="143" spans="1:10" ht="33.950000000000003" customHeight="1" x14ac:dyDescent="0.25">
      <c r="A143" s="19">
        <v>142</v>
      </c>
      <c r="B143" s="19" t="s">
        <v>539</v>
      </c>
      <c r="C143" s="19" t="s">
        <v>26</v>
      </c>
      <c r="D143" s="19" t="s">
        <v>119</v>
      </c>
      <c r="E143" s="19" t="s">
        <v>540</v>
      </c>
      <c r="F143" s="20">
        <v>84</v>
      </c>
      <c r="G143" s="21">
        <v>84</v>
      </c>
      <c r="H143" s="21">
        <v>84</v>
      </c>
      <c r="I143" s="22">
        <f t="shared" si="4"/>
        <v>84</v>
      </c>
      <c r="J143" s="19" t="s">
        <v>541</v>
      </c>
    </row>
    <row r="144" spans="1:10" ht="33.950000000000003" customHeight="1" x14ac:dyDescent="0.25">
      <c r="A144" s="15">
        <v>143</v>
      </c>
      <c r="B144" s="15" t="s">
        <v>542</v>
      </c>
      <c r="C144" s="15" t="s">
        <v>514</v>
      </c>
      <c r="D144" s="15" t="s">
        <v>543</v>
      </c>
      <c r="E144" s="15" t="s">
        <v>544</v>
      </c>
      <c r="F144" s="16">
        <v>84</v>
      </c>
      <c r="G144" s="17">
        <v>84</v>
      </c>
      <c r="H144" s="17">
        <v>84</v>
      </c>
      <c r="I144" s="18">
        <f t="shared" si="4"/>
        <v>84</v>
      </c>
      <c r="J144" s="15" t="s">
        <v>545</v>
      </c>
    </row>
    <row r="145" spans="1:10" ht="33.950000000000003" customHeight="1" x14ac:dyDescent="0.25">
      <c r="A145" s="19">
        <v>144</v>
      </c>
      <c r="B145" s="19" t="s">
        <v>546</v>
      </c>
      <c r="C145" s="19" t="s">
        <v>101</v>
      </c>
      <c r="D145" s="19" t="s">
        <v>547</v>
      </c>
      <c r="E145" s="19" t="s">
        <v>28</v>
      </c>
      <c r="F145" s="20">
        <v>84</v>
      </c>
      <c r="G145" s="21">
        <v>83</v>
      </c>
      <c r="H145" s="21">
        <v>84</v>
      </c>
      <c r="I145" s="22">
        <f t="shared" si="4"/>
        <v>84</v>
      </c>
      <c r="J145" s="19" t="s">
        <v>548</v>
      </c>
    </row>
    <row r="146" spans="1:10" ht="33.950000000000003" customHeight="1" x14ac:dyDescent="0.25">
      <c r="A146" s="15">
        <v>145</v>
      </c>
      <c r="B146" s="15" t="s">
        <v>549</v>
      </c>
      <c r="C146" s="15" t="s">
        <v>101</v>
      </c>
      <c r="D146" s="15" t="s">
        <v>94</v>
      </c>
      <c r="E146" s="15" t="s">
        <v>95</v>
      </c>
      <c r="F146" s="16">
        <v>84</v>
      </c>
      <c r="G146" s="17">
        <v>83</v>
      </c>
      <c r="H146" s="17">
        <v>84</v>
      </c>
      <c r="I146" s="18">
        <f t="shared" si="4"/>
        <v>84</v>
      </c>
      <c r="J146" s="15" t="s">
        <v>550</v>
      </c>
    </row>
    <row r="147" spans="1:10" ht="33.950000000000003" customHeight="1" x14ac:dyDescent="0.25">
      <c r="A147" s="19">
        <v>146</v>
      </c>
      <c r="B147" s="19" t="s">
        <v>551</v>
      </c>
      <c r="C147" s="19" t="s">
        <v>45</v>
      </c>
      <c r="D147" s="19" t="s">
        <v>552</v>
      </c>
      <c r="E147" s="19" t="s">
        <v>553</v>
      </c>
      <c r="F147" s="20">
        <v>84</v>
      </c>
      <c r="G147" s="21">
        <v>82</v>
      </c>
      <c r="H147" s="21">
        <v>86</v>
      </c>
      <c r="I147" s="22">
        <f t="shared" si="4"/>
        <v>84</v>
      </c>
      <c r="J147" s="19" t="s">
        <v>554</v>
      </c>
    </row>
    <row r="148" spans="1:10" ht="33.950000000000003" customHeight="1" x14ac:dyDescent="0.25">
      <c r="A148" s="15">
        <v>147</v>
      </c>
      <c r="B148" s="15" t="s">
        <v>555</v>
      </c>
      <c r="C148" s="15" t="s">
        <v>177</v>
      </c>
      <c r="D148" s="15" t="s">
        <v>556</v>
      </c>
      <c r="E148" s="15" t="s">
        <v>557</v>
      </c>
      <c r="F148" s="16">
        <v>84</v>
      </c>
      <c r="G148" s="17">
        <v>82</v>
      </c>
      <c r="H148" s="17">
        <v>86</v>
      </c>
      <c r="I148" s="18">
        <f t="shared" si="4"/>
        <v>84</v>
      </c>
      <c r="J148" s="15" t="s">
        <v>558</v>
      </c>
    </row>
    <row r="149" spans="1:10" ht="33.950000000000003" customHeight="1" x14ac:dyDescent="0.25">
      <c r="A149" s="19">
        <v>148</v>
      </c>
      <c r="B149" s="19" t="s">
        <v>559</v>
      </c>
      <c r="C149" s="19" t="s">
        <v>69</v>
      </c>
      <c r="D149" s="19" t="s">
        <v>560</v>
      </c>
      <c r="E149" s="19" t="s">
        <v>60</v>
      </c>
      <c r="F149" s="20">
        <v>83</v>
      </c>
      <c r="G149" s="21">
        <v>85</v>
      </c>
      <c r="H149" s="21">
        <v>85</v>
      </c>
      <c r="I149" s="22">
        <f t="shared" si="4"/>
        <v>84</v>
      </c>
      <c r="J149" s="19" t="s">
        <v>561</v>
      </c>
    </row>
    <row r="150" spans="1:10" ht="33.950000000000003" customHeight="1" x14ac:dyDescent="0.25">
      <c r="A150" s="15">
        <v>149</v>
      </c>
      <c r="B150" s="15" t="s">
        <v>562</v>
      </c>
      <c r="C150" s="15" t="s">
        <v>142</v>
      </c>
      <c r="D150" s="15" t="s">
        <v>563</v>
      </c>
      <c r="E150" s="15" t="s">
        <v>191</v>
      </c>
      <c r="F150" s="16">
        <v>83</v>
      </c>
      <c r="G150" s="17">
        <v>84</v>
      </c>
      <c r="H150" s="17">
        <v>86</v>
      </c>
      <c r="I150" s="18">
        <f t="shared" si="4"/>
        <v>84</v>
      </c>
      <c r="J150" s="15" t="s">
        <v>564</v>
      </c>
    </row>
    <row r="151" spans="1:10" ht="33.950000000000003" customHeight="1" x14ac:dyDescent="0.25">
      <c r="A151" s="19">
        <v>150</v>
      </c>
      <c r="B151" s="19" t="s">
        <v>565</v>
      </c>
      <c r="C151" s="19" t="s">
        <v>45</v>
      </c>
      <c r="D151" s="19" t="s">
        <v>566</v>
      </c>
      <c r="E151" s="19" t="s">
        <v>567</v>
      </c>
      <c r="F151" s="20">
        <v>83</v>
      </c>
      <c r="G151" s="21">
        <v>83</v>
      </c>
      <c r="H151" s="21">
        <v>88</v>
      </c>
      <c r="I151" s="22">
        <f t="shared" si="4"/>
        <v>84</v>
      </c>
      <c r="J151" s="19" t="s">
        <v>568</v>
      </c>
    </row>
    <row r="152" spans="1:10" ht="33.950000000000003" customHeight="1" x14ac:dyDescent="0.25">
      <c r="A152" s="15">
        <v>151</v>
      </c>
      <c r="B152" s="15" t="s">
        <v>569</v>
      </c>
      <c r="C152" s="15" t="s">
        <v>101</v>
      </c>
      <c r="D152" s="15" t="s">
        <v>570</v>
      </c>
      <c r="E152" s="15" t="s">
        <v>571</v>
      </c>
      <c r="F152" s="16">
        <v>83</v>
      </c>
      <c r="G152" s="17">
        <v>82</v>
      </c>
      <c r="H152" s="17">
        <v>91</v>
      </c>
      <c r="I152" s="18">
        <f t="shared" si="4"/>
        <v>84</v>
      </c>
      <c r="J152" s="15" t="s">
        <v>572</v>
      </c>
    </row>
    <row r="153" spans="1:10" ht="33.950000000000003" customHeight="1" x14ac:dyDescent="0.25">
      <c r="A153" s="19">
        <v>152</v>
      </c>
      <c r="B153" s="19" t="s">
        <v>573</v>
      </c>
      <c r="C153" s="19" t="s">
        <v>101</v>
      </c>
      <c r="D153" s="19" t="s">
        <v>574</v>
      </c>
      <c r="E153" s="19" t="s">
        <v>299</v>
      </c>
      <c r="F153" s="20">
        <v>82</v>
      </c>
      <c r="G153" s="21">
        <v>83</v>
      </c>
      <c r="H153" s="21">
        <v>96</v>
      </c>
      <c r="I153" s="22">
        <f t="shared" si="4"/>
        <v>84</v>
      </c>
      <c r="J153" s="19" t="s">
        <v>575</v>
      </c>
    </row>
    <row r="154" spans="1:10" ht="33.950000000000003" customHeight="1" x14ac:dyDescent="0.25">
      <c r="A154" s="15">
        <v>153</v>
      </c>
      <c r="B154" s="15" t="s">
        <v>576</v>
      </c>
      <c r="C154" s="15" t="s">
        <v>101</v>
      </c>
      <c r="D154" s="15" t="s">
        <v>577</v>
      </c>
      <c r="E154" s="15" t="s">
        <v>578</v>
      </c>
      <c r="F154" s="16">
        <v>82</v>
      </c>
      <c r="G154" s="17">
        <v>82</v>
      </c>
      <c r="H154" s="17">
        <v>96</v>
      </c>
      <c r="I154" s="18">
        <f t="shared" si="4"/>
        <v>84</v>
      </c>
      <c r="J154" s="15" t="s">
        <v>579</v>
      </c>
    </row>
    <row r="155" spans="1:10" ht="33.950000000000003" customHeight="1" x14ac:dyDescent="0.25">
      <c r="A155" s="19">
        <v>154</v>
      </c>
      <c r="B155" s="19" t="s">
        <v>580</v>
      </c>
      <c r="C155" s="19" t="s">
        <v>284</v>
      </c>
      <c r="D155" s="19" t="s">
        <v>70</v>
      </c>
      <c r="E155" s="19" t="s">
        <v>581</v>
      </c>
      <c r="F155" s="20">
        <v>89</v>
      </c>
      <c r="G155" s="21">
        <v>84</v>
      </c>
      <c r="H155" s="21">
        <v>58</v>
      </c>
      <c r="I155" s="22">
        <f t="shared" si="4"/>
        <v>83</v>
      </c>
      <c r="J155" s="19" t="s">
        <v>582</v>
      </c>
    </row>
    <row r="156" spans="1:10" ht="33.950000000000003" customHeight="1" x14ac:dyDescent="0.25">
      <c r="A156" s="15">
        <v>155</v>
      </c>
      <c r="B156" s="15" t="s">
        <v>583</v>
      </c>
      <c r="C156" s="15" t="s">
        <v>240</v>
      </c>
      <c r="D156" s="15" t="s">
        <v>584</v>
      </c>
      <c r="E156" s="15" t="s">
        <v>129</v>
      </c>
      <c r="F156" s="16">
        <v>89</v>
      </c>
      <c r="G156" s="17">
        <v>82</v>
      </c>
      <c r="H156" s="17">
        <v>66</v>
      </c>
      <c r="I156" s="18">
        <f t="shared" si="4"/>
        <v>83</v>
      </c>
      <c r="J156" s="15" t="s">
        <v>585</v>
      </c>
    </row>
    <row r="157" spans="1:10" ht="33.950000000000003" customHeight="1" x14ac:dyDescent="0.25">
      <c r="A157" s="19">
        <v>156</v>
      </c>
      <c r="B157" s="19" t="s">
        <v>586</v>
      </c>
      <c r="C157" s="19" t="s">
        <v>373</v>
      </c>
      <c r="D157" s="19" t="s">
        <v>587</v>
      </c>
      <c r="E157" s="19" t="s">
        <v>588</v>
      </c>
      <c r="F157" s="20">
        <v>88</v>
      </c>
      <c r="G157" s="21">
        <v>85</v>
      </c>
      <c r="H157" s="21">
        <v>58</v>
      </c>
      <c r="I157" s="22">
        <f t="shared" si="4"/>
        <v>83</v>
      </c>
      <c r="J157" s="19" t="s">
        <v>589</v>
      </c>
    </row>
    <row r="158" spans="1:10" ht="33.950000000000003" customHeight="1" x14ac:dyDescent="0.25">
      <c r="A158" s="15">
        <v>157</v>
      </c>
      <c r="B158" s="15" t="s">
        <v>590</v>
      </c>
      <c r="C158" s="15" t="s">
        <v>69</v>
      </c>
      <c r="D158" s="15" t="s">
        <v>55</v>
      </c>
      <c r="E158" s="15" t="s">
        <v>252</v>
      </c>
      <c r="F158" s="16">
        <v>87</v>
      </c>
      <c r="G158" s="17">
        <v>84</v>
      </c>
      <c r="H158" s="17">
        <v>68</v>
      </c>
      <c r="I158" s="18">
        <f t="shared" si="4"/>
        <v>83</v>
      </c>
      <c r="J158" s="15" t="s">
        <v>591</v>
      </c>
    </row>
    <row r="159" spans="1:10" ht="33.950000000000003" customHeight="1" x14ac:dyDescent="0.25">
      <c r="A159" s="19">
        <v>158</v>
      </c>
      <c r="B159" s="19" t="s">
        <v>592</v>
      </c>
      <c r="C159" s="19" t="s">
        <v>26</v>
      </c>
      <c r="D159" s="19" t="s">
        <v>593</v>
      </c>
      <c r="E159" s="19" t="s">
        <v>594</v>
      </c>
      <c r="F159" s="20">
        <v>87</v>
      </c>
      <c r="G159" s="21">
        <v>83</v>
      </c>
      <c r="H159" s="21">
        <v>68</v>
      </c>
      <c r="I159" s="22">
        <f t="shared" si="4"/>
        <v>83</v>
      </c>
      <c r="J159" s="19" t="s">
        <v>595</v>
      </c>
    </row>
    <row r="160" spans="1:10" ht="33.950000000000003" customHeight="1" x14ac:dyDescent="0.25">
      <c r="A160" s="15">
        <v>159</v>
      </c>
      <c r="B160" s="15" t="s">
        <v>596</v>
      </c>
      <c r="C160" s="15" t="s">
        <v>45</v>
      </c>
      <c r="D160" s="15" t="s">
        <v>70</v>
      </c>
      <c r="E160" s="15" t="s">
        <v>597</v>
      </c>
      <c r="F160" s="16">
        <v>86</v>
      </c>
      <c r="G160" s="17">
        <v>84</v>
      </c>
      <c r="H160" s="17">
        <v>68</v>
      </c>
      <c r="I160" s="18">
        <f t="shared" si="4"/>
        <v>83</v>
      </c>
      <c r="J160" s="15" t="s">
        <v>598</v>
      </c>
    </row>
    <row r="161" spans="1:10" ht="33.950000000000003" customHeight="1" x14ac:dyDescent="0.25">
      <c r="A161" s="19">
        <v>160</v>
      </c>
      <c r="B161" s="19" t="s">
        <v>599</v>
      </c>
      <c r="C161" s="19" t="s">
        <v>284</v>
      </c>
      <c r="D161" s="19" t="s">
        <v>51</v>
      </c>
      <c r="E161" s="19" t="s">
        <v>600</v>
      </c>
      <c r="F161" s="20">
        <v>85</v>
      </c>
      <c r="G161" s="21">
        <v>83</v>
      </c>
      <c r="H161" s="21">
        <v>77</v>
      </c>
      <c r="I161" s="22">
        <f t="shared" si="4"/>
        <v>83</v>
      </c>
      <c r="J161" s="19" t="s">
        <v>601</v>
      </c>
    </row>
    <row r="162" spans="1:10" ht="33.950000000000003" customHeight="1" x14ac:dyDescent="0.25">
      <c r="A162" s="15">
        <v>161</v>
      </c>
      <c r="B162" s="15" t="s">
        <v>602</v>
      </c>
      <c r="C162" s="15" t="s">
        <v>69</v>
      </c>
      <c r="D162" s="15" t="s">
        <v>603</v>
      </c>
      <c r="E162" s="15" t="s">
        <v>604</v>
      </c>
      <c r="F162" s="16">
        <v>85</v>
      </c>
      <c r="G162" s="17">
        <v>83</v>
      </c>
      <c r="H162" s="17">
        <v>76</v>
      </c>
      <c r="I162" s="18">
        <f t="shared" ref="I162:I193" si="5">ROUND(F162*0.55+G162*0.3+H162*0.15,0)</f>
        <v>83</v>
      </c>
      <c r="J162" s="15" t="s">
        <v>605</v>
      </c>
    </row>
    <row r="163" spans="1:10" ht="33.950000000000003" customHeight="1" x14ac:dyDescent="0.25">
      <c r="A163" s="19">
        <v>162</v>
      </c>
      <c r="B163" s="19" t="s">
        <v>606</v>
      </c>
      <c r="C163" s="19" t="s">
        <v>69</v>
      </c>
      <c r="D163" s="19" t="s">
        <v>607</v>
      </c>
      <c r="E163" s="19" t="s">
        <v>608</v>
      </c>
      <c r="F163" s="20">
        <v>84</v>
      </c>
      <c r="G163" s="21">
        <v>84</v>
      </c>
      <c r="H163" s="21">
        <v>76</v>
      </c>
      <c r="I163" s="22">
        <f t="shared" si="5"/>
        <v>83</v>
      </c>
      <c r="J163" s="19" t="s">
        <v>609</v>
      </c>
    </row>
    <row r="164" spans="1:10" ht="33.950000000000003" customHeight="1" x14ac:dyDescent="0.25">
      <c r="A164" s="15">
        <v>163</v>
      </c>
      <c r="B164" s="15" t="s">
        <v>610</v>
      </c>
      <c r="C164" s="15" t="s">
        <v>611</v>
      </c>
      <c r="D164" s="15" t="s">
        <v>612</v>
      </c>
      <c r="E164" s="15" t="s">
        <v>613</v>
      </c>
      <c r="F164" s="16">
        <v>84</v>
      </c>
      <c r="G164" s="17">
        <v>83</v>
      </c>
      <c r="H164" s="17">
        <v>79</v>
      </c>
      <c r="I164" s="18">
        <f t="shared" si="5"/>
        <v>83</v>
      </c>
      <c r="J164" s="15" t="s">
        <v>614</v>
      </c>
    </row>
    <row r="165" spans="1:10" ht="33.950000000000003" customHeight="1" x14ac:dyDescent="0.25">
      <c r="A165" s="19">
        <v>164</v>
      </c>
      <c r="B165" s="19" t="s">
        <v>615</v>
      </c>
      <c r="C165" s="19" t="s">
        <v>45</v>
      </c>
      <c r="D165" s="19" t="s">
        <v>616</v>
      </c>
      <c r="E165" s="19" t="s">
        <v>617</v>
      </c>
      <c r="F165" s="20">
        <v>84</v>
      </c>
      <c r="G165" s="21">
        <v>82</v>
      </c>
      <c r="H165" s="21">
        <v>82</v>
      </c>
      <c r="I165" s="22">
        <f t="shared" si="5"/>
        <v>83</v>
      </c>
      <c r="J165" s="19" t="s">
        <v>618</v>
      </c>
    </row>
    <row r="166" spans="1:10" ht="33.950000000000003" customHeight="1" x14ac:dyDescent="0.25">
      <c r="A166" s="15">
        <v>165</v>
      </c>
      <c r="B166" s="15" t="s">
        <v>619</v>
      </c>
      <c r="C166" s="15" t="s">
        <v>500</v>
      </c>
      <c r="D166" s="15" t="s">
        <v>620</v>
      </c>
      <c r="E166" s="15" t="s">
        <v>56</v>
      </c>
      <c r="F166" s="16">
        <v>83</v>
      </c>
      <c r="G166" s="17">
        <v>82</v>
      </c>
      <c r="H166" s="17">
        <v>84</v>
      </c>
      <c r="I166" s="18">
        <f t="shared" si="5"/>
        <v>83</v>
      </c>
      <c r="J166" s="15" t="s">
        <v>621</v>
      </c>
    </row>
    <row r="167" spans="1:10" ht="33.950000000000003" customHeight="1" x14ac:dyDescent="0.25">
      <c r="A167" s="19">
        <v>166</v>
      </c>
      <c r="B167" s="19" t="s">
        <v>622</v>
      </c>
      <c r="C167" s="19" t="s">
        <v>228</v>
      </c>
      <c r="D167" s="19" t="s">
        <v>82</v>
      </c>
      <c r="E167" s="19" t="s">
        <v>623</v>
      </c>
      <c r="F167" s="20">
        <v>83</v>
      </c>
      <c r="G167" s="21">
        <v>82</v>
      </c>
      <c r="H167" s="21">
        <v>83</v>
      </c>
      <c r="I167" s="22">
        <f t="shared" si="5"/>
        <v>83</v>
      </c>
      <c r="J167" s="19" t="s">
        <v>624</v>
      </c>
    </row>
    <row r="168" spans="1:10" ht="33.950000000000003" customHeight="1" x14ac:dyDescent="0.25">
      <c r="A168" s="15">
        <v>167</v>
      </c>
      <c r="B168" s="15" t="s">
        <v>625</v>
      </c>
      <c r="C168" s="15" t="s">
        <v>69</v>
      </c>
      <c r="D168" s="15" t="s">
        <v>626</v>
      </c>
      <c r="E168" s="15" t="s">
        <v>627</v>
      </c>
      <c r="F168" s="16">
        <v>82</v>
      </c>
      <c r="G168" s="17">
        <v>84</v>
      </c>
      <c r="H168" s="17">
        <v>87</v>
      </c>
      <c r="I168" s="18">
        <f t="shared" si="5"/>
        <v>83</v>
      </c>
      <c r="J168" s="15" t="s">
        <v>628</v>
      </c>
    </row>
    <row r="169" spans="1:10" ht="33.950000000000003" customHeight="1" x14ac:dyDescent="0.25">
      <c r="A169" s="19">
        <v>168</v>
      </c>
      <c r="B169" s="19" t="s">
        <v>629</v>
      </c>
      <c r="C169" s="19" t="s">
        <v>69</v>
      </c>
      <c r="D169" s="19" t="s">
        <v>630</v>
      </c>
      <c r="E169" s="19" t="s">
        <v>28</v>
      </c>
      <c r="F169" s="20">
        <v>82</v>
      </c>
      <c r="G169" s="21">
        <v>83</v>
      </c>
      <c r="H169" s="21">
        <v>89</v>
      </c>
      <c r="I169" s="22">
        <f t="shared" si="5"/>
        <v>83</v>
      </c>
      <c r="J169" s="19" t="s">
        <v>631</v>
      </c>
    </row>
    <row r="170" spans="1:10" ht="33.950000000000003" customHeight="1" x14ac:dyDescent="0.25">
      <c r="A170" s="15">
        <v>169</v>
      </c>
      <c r="B170" s="15" t="s">
        <v>632</v>
      </c>
      <c r="C170" s="15" t="s">
        <v>69</v>
      </c>
      <c r="D170" s="15" t="s">
        <v>633</v>
      </c>
      <c r="E170" s="15" t="s">
        <v>634</v>
      </c>
      <c r="F170" s="16">
        <v>82</v>
      </c>
      <c r="G170" s="17">
        <v>82</v>
      </c>
      <c r="H170" s="17">
        <v>88</v>
      </c>
      <c r="I170" s="18">
        <f t="shared" si="5"/>
        <v>83</v>
      </c>
      <c r="J170" s="15" t="s">
        <v>635</v>
      </c>
    </row>
    <row r="171" spans="1:10" ht="33.950000000000003" customHeight="1" x14ac:dyDescent="0.25">
      <c r="A171" s="19">
        <v>170</v>
      </c>
      <c r="B171" s="19" t="s">
        <v>636</v>
      </c>
      <c r="C171" s="19" t="s">
        <v>101</v>
      </c>
      <c r="D171" s="19" t="s">
        <v>637</v>
      </c>
      <c r="E171" s="19" t="s">
        <v>638</v>
      </c>
      <c r="F171" s="20">
        <v>82</v>
      </c>
      <c r="G171" s="21">
        <v>82</v>
      </c>
      <c r="H171" s="21">
        <v>88</v>
      </c>
      <c r="I171" s="22">
        <f t="shared" si="5"/>
        <v>83</v>
      </c>
      <c r="J171" s="19" t="s">
        <v>639</v>
      </c>
    </row>
    <row r="172" spans="1:10" ht="33.950000000000003" customHeight="1" x14ac:dyDescent="0.25">
      <c r="A172" s="15">
        <v>171</v>
      </c>
      <c r="B172" s="15" t="s">
        <v>640</v>
      </c>
      <c r="C172" s="15" t="s">
        <v>69</v>
      </c>
      <c r="D172" s="15" t="s">
        <v>641</v>
      </c>
      <c r="E172" s="15" t="s">
        <v>642</v>
      </c>
      <c r="F172" s="16">
        <v>81</v>
      </c>
      <c r="G172" s="17">
        <v>84</v>
      </c>
      <c r="H172" s="17">
        <v>86</v>
      </c>
      <c r="I172" s="18">
        <f t="shared" si="5"/>
        <v>83</v>
      </c>
      <c r="J172" s="15" t="s">
        <v>643</v>
      </c>
    </row>
    <row r="173" spans="1:10" ht="33.950000000000003" customHeight="1" x14ac:dyDescent="0.25">
      <c r="A173" s="19">
        <v>172</v>
      </c>
      <c r="B173" s="19" t="s">
        <v>644</v>
      </c>
      <c r="C173" s="19" t="s">
        <v>110</v>
      </c>
      <c r="D173" s="19" t="s">
        <v>22</v>
      </c>
      <c r="E173" s="19" t="s">
        <v>645</v>
      </c>
      <c r="F173" s="20">
        <v>87</v>
      </c>
      <c r="G173" s="21">
        <v>84</v>
      </c>
      <c r="H173" s="21">
        <v>60</v>
      </c>
      <c r="I173" s="22">
        <f t="shared" si="5"/>
        <v>82</v>
      </c>
      <c r="J173" s="19" t="s">
        <v>646</v>
      </c>
    </row>
    <row r="174" spans="1:10" ht="33.950000000000003" customHeight="1" x14ac:dyDescent="0.25">
      <c r="A174" s="15">
        <v>173</v>
      </c>
      <c r="B174" s="15" t="s">
        <v>647</v>
      </c>
      <c r="C174" s="15" t="s">
        <v>86</v>
      </c>
      <c r="D174" s="15" t="s">
        <v>22</v>
      </c>
      <c r="E174" s="15" t="s">
        <v>648</v>
      </c>
      <c r="F174" s="16">
        <v>87</v>
      </c>
      <c r="G174" s="17">
        <v>82</v>
      </c>
      <c r="H174" s="17">
        <v>66</v>
      </c>
      <c r="I174" s="18">
        <f t="shared" si="5"/>
        <v>82</v>
      </c>
      <c r="J174" s="15" t="s">
        <v>649</v>
      </c>
    </row>
    <row r="175" spans="1:10" ht="33.950000000000003" customHeight="1" x14ac:dyDescent="0.25">
      <c r="A175" s="19">
        <v>174</v>
      </c>
      <c r="B175" s="19" t="s">
        <v>650</v>
      </c>
      <c r="C175" s="19" t="s">
        <v>69</v>
      </c>
      <c r="D175" s="19" t="s">
        <v>651</v>
      </c>
      <c r="E175" s="19" t="s">
        <v>652</v>
      </c>
      <c r="F175" s="20">
        <v>85</v>
      </c>
      <c r="G175" s="21">
        <v>81</v>
      </c>
      <c r="H175" s="21">
        <v>75</v>
      </c>
      <c r="I175" s="22">
        <f t="shared" si="5"/>
        <v>82</v>
      </c>
      <c r="J175" s="19" t="s">
        <v>653</v>
      </c>
    </row>
    <row r="176" spans="1:10" ht="33.950000000000003" customHeight="1" x14ac:dyDescent="0.25">
      <c r="A176" s="15">
        <v>175</v>
      </c>
      <c r="B176" s="15" t="s">
        <v>654</v>
      </c>
      <c r="C176" s="15" t="s">
        <v>45</v>
      </c>
      <c r="D176" s="15" t="s">
        <v>70</v>
      </c>
      <c r="E176" s="15" t="s">
        <v>655</v>
      </c>
      <c r="F176" s="16">
        <v>84</v>
      </c>
      <c r="G176" s="17">
        <v>83</v>
      </c>
      <c r="H176" s="17">
        <v>74</v>
      </c>
      <c r="I176" s="18">
        <f t="shared" si="5"/>
        <v>82</v>
      </c>
      <c r="J176" s="15" t="s">
        <v>656</v>
      </c>
    </row>
    <row r="177" spans="1:10" ht="33.950000000000003" customHeight="1" x14ac:dyDescent="0.25">
      <c r="A177" s="19">
        <v>176</v>
      </c>
      <c r="B177" s="19" t="s">
        <v>657</v>
      </c>
      <c r="C177" s="19" t="s">
        <v>169</v>
      </c>
      <c r="D177" s="19" t="s">
        <v>658</v>
      </c>
      <c r="E177" s="19" t="s">
        <v>215</v>
      </c>
      <c r="F177" s="20">
        <v>84</v>
      </c>
      <c r="G177" s="21">
        <v>82</v>
      </c>
      <c r="H177" s="21">
        <v>78</v>
      </c>
      <c r="I177" s="22">
        <f t="shared" si="5"/>
        <v>83</v>
      </c>
      <c r="J177" s="19" t="s">
        <v>659</v>
      </c>
    </row>
    <row r="178" spans="1:10" ht="33.950000000000003" customHeight="1" x14ac:dyDescent="0.25">
      <c r="A178" s="15">
        <v>177</v>
      </c>
      <c r="B178" s="15" t="s">
        <v>660</v>
      </c>
      <c r="C178" s="15" t="s">
        <v>240</v>
      </c>
      <c r="D178" s="15" t="s">
        <v>22</v>
      </c>
      <c r="E178" s="15" t="s">
        <v>379</v>
      </c>
      <c r="F178" s="16">
        <v>84</v>
      </c>
      <c r="G178" s="17">
        <v>81</v>
      </c>
      <c r="H178" s="17">
        <v>76</v>
      </c>
      <c r="I178" s="18">
        <f t="shared" si="5"/>
        <v>82</v>
      </c>
      <c r="J178" s="15" t="s">
        <v>661</v>
      </c>
    </row>
    <row r="179" spans="1:10" ht="33.950000000000003" customHeight="1" x14ac:dyDescent="0.25">
      <c r="A179" s="19">
        <v>178</v>
      </c>
      <c r="B179" s="19" t="s">
        <v>662</v>
      </c>
      <c r="C179" s="19" t="s">
        <v>228</v>
      </c>
      <c r="D179" s="19" t="s">
        <v>22</v>
      </c>
      <c r="E179" s="19" t="s">
        <v>663</v>
      </c>
      <c r="F179" s="20">
        <v>83</v>
      </c>
      <c r="G179" s="21">
        <v>84</v>
      </c>
      <c r="H179" s="21">
        <v>75</v>
      </c>
      <c r="I179" s="22">
        <f t="shared" si="5"/>
        <v>82</v>
      </c>
      <c r="J179" s="19" t="s">
        <v>664</v>
      </c>
    </row>
    <row r="180" spans="1:10" ht="33.950000000000003" customHeight="1" x14ac:dyDescent="0.25">
      <c r="A180" s="15">
        <v>179</v>
      </c>
      <c r="B180" s="15" t="s">
        <v>665</v>
      </c>
      <c r="C180" s="15" t="s">
        <v>666</v>
      </c>
      <c r="D180" s="15" t="s">
        <v>667</v>
      </c>
      <c r="E180" s="15" t="s">
        <v>668</v>
      </c>
      <c r="F180" s="16">
        <v>83</v>
      </c>
      <c r="G180" s="17">
        <v>82</v>
      </c>
      <c r="H180" s="17">
        <v>80</v>
      </c>
      <c r="I180" s="18">
        <f t="shared" si="5"/>
        <v>82</v>
      </c>
      <c r="J180" s="15" t="s">
        <v>669</v>
      </c>
    </row>
    <row r="181" spans="1:10" ht="33.950000000000003" customHeight="1" x14ac:dyDescent="0.25">
      <c r="A181" s="19">
        <v>180</v>
      </c>
      <c r="B181" s="19" t="s">
        <v>670</v>
      </c>
      <c r="C181" s="19" t="s">
        <v>69</v>
      </c>
      <c r="D181" s="19" t="s">
        <v>214</v>
      </c>
      <c r="E181" s="19" t="s">
        <v>604</v>
      </c>
      <c r="F181" s="20">
        <v>82</v>
      </c>
      <c r="G181" s="21">
        <v>85</v>
      </c>
      <c r="H181" s="21">
        <v>76</v>
      </c>
      <c r="I181" s="22">
        <f t="shared" si="5"/>
        <v>82</v>
      </c>
      <c r="J181" s="19" t="s">
        <v>671</v>
      </c>
    </row>
    <row r="182" spans="1:10" ht="33.950000000000003" customHeight="1" x14ac:dyDescent="0.25">
      <c r="A182" s="15">
        <v>181</v>
      </c>
      <c r="B182" s="15" t="s">
        <v>672</v>
      </c>
      <c r="C182" s="15" t="s">
        <v>514</v>
      </c>
      <c r="D182" s="15" t="s">
        <v>673</v>
      </c>
      <c r="E182" s="15" t="s">
        <v>674</v>
      </c>
      <c r="F182" s="16">
        <v>82</v>
      </c>
      <c r="G182" s="17">
        <v>82</v>
      </c>
      <c r="H182" s="17">
        <v>82</v>
      </c>
      <c r="I182" s="18">
        <f t="shared" si="5"/>
        <v>82</v>
      </c>
      <c r="J182" s="15" t="s">
        <v>675</v>
      </c>
    </row>
    <row r="183" spans="1:10" ht="33.950000000000003" customHeight="1" x14ac:dyDescent="0.25">
      <c r="A183" s="19">
        <v>182</v>
      </c>
      <c r="B183" s="19" t="s">
        <v>676</v>
      </c>
      <c r="C183" s="19" t="s">
        <v>36</v>
      </c>
      <c r="D183" s="19" t="s">
        <v>677</v>
      </c>
      <c r="E183" s="19" t="s">
        <v>678</v>
      </c>
      <c r="F183" s="20">
        <v>82</v>
      </c>
      <c r="G183" s="21">
        <v>81</v>
      </c>
      <c r="H183" s="21">
        <v>87</v>
      </c>
      <c r="I183" s="22">
        <f t="shared" si="5"/>
        <v>82</v>
      </c>
      <c r="J183" s="19" t="s">
        <v>679</v>
      </c>
    </row>
    <row r="184" spans="1:10" ht="33.950000000000003" customHeight="1" x14ac:dyDescent="0.25">
      <c r="A184" s="15">
        <v>183</v>
      </c>
      <c r="B184" s="15" t="s">
        <v>680</v>
      </c>
      <c r="C184" s="15" t="s">
        <v>69</v>
      </c>
      <c r="D184" s="15" t="s">
        <v>681</v>
      </c>
      <c r="E184" s="15" t="s">
        <v>215</v>
      </c>
      <c r="F184" s="16">
        <v>82</v>
      </c>
      <c r="G184" s="17">
        <v>81</v>
      </c>
      <c r="H184" s="17">
        <v>84</v>
      </c>
      <c r="I184" s="18">
        <f t="shared" si="5"/>
        <v>82</v>
      </c>
      <c r="J184" s="15" t="s">
        <v>682</v>
      </c>
    </row>
    <row r="185" spans="1:10" ht="33.950000000000003" customHeight="1" x14ac:dyDescent="0.25">
      <c r="A185" s="19">
        <v>184</v>
      </c>
      <c r="B185" s="19" t="s">
        <v>683</v>
      </c>
      <c r="C185" s="19" t="s">
        <v>101</v>
      </c>
      <c r="D185" s="19" t="s">
        <v>684</v>
      </c>
      <c r="E185" s="19" t="s">
        <v>262</v>
      </c>
      <c r="F185" s="20">
        <v>82</v>
      </c>
      <c r="G185" s="21">
        <v>81</v>
      </c>
      <c r="H185" s="21">
        <v>84</v>
      </c>
      <c r="I185" s="22">
        <f t="shared" si="5"/>
        <v>82</v>
      </c>
      <c r="J185" s="19" t="s">
        <v>685</v>
      </c>
    </row>
    <row r="186" spans="1:10" ht="33.950000000000003" customHeight="1" x14ac:dyDescent="0.25">
      <c r="A186" s="15">
        <v>185</v>
      </c>
      <c r="B186" s="15" t="s">
        <v>686</v>
      </c>
      <c r="C186" s="15" t="s">
        <v>336</v>
      </c>
      <c r="D186" s="15" t="s">
        <v>620</v>
      </c>
      <c r="E186" s="15" t="s">
        <v>687</v>
      </c>
      <c r="F186" s="16">
        <v>89</v>
      </c>
      <c r="G186" s="17">
        <v>81</v>
      </c>
      <c r="H186" s="17">
        <v>50</v>
      </c>
      <c r="I186" s="18">
        <f t="shared" si="5"/>
        <v>81</v>
      </c>
      <c r="J186" s="15" t="s">
        <v>688</v>
      </c>
    </row>
    <row r="187" spans="1:10" ht="33.950000000000003" customHeight="1" x14ac:dyDescent="0.25">
      <c r="A187" s="19">
        <v>186</v>
      </c>
      <c r="B187" s="19" t="s">
        <v>689</v>
      </c>
      <c r="C187" s="19" t="s">
        <v>269</v>
      </c>
      <c r="D187" s="19" t="s">
        <v>690</v>
      </c>
      <c r="E187" s="19" t="s">
        <v>648</v>
      </c>
      <c r="F187" s="20">
        <v>88</v>
      </c>
      <c r="G187" s="21">
        <v>80</v>
      </c>
      <c r="H187" s="21">
        <v>55</v>
      </c>
      <c r="I187" s="22">
        <f t="shared" si="5"/>
        <v>81</v>
      </c>
      <c r="J187" s="19" t="s">
        <v>691</v>
      </c>
    </row>
    <row r="188" spans="1:10" ht="33.950000000000003" customHeight="1" x14ac:dyDescent="0.25">
      <c r="A188" s="15">
        <v>187</v>
      </c>
      <c r="B188" s="15" t="s">
        <v>692</v>
      </c>
      <c r="C188" s="15" t="s">
        <v>336</v>
      </c>
      <c r="D188" s="15" t="s">
        <v>693</v>
      </c>
      <c r="E188" s="15" t="s">
        <v>252</v>
      </c>
      <c r="F188" s="16">
        <v>84</v>
      </c>
      <c r="G188" s="17">
        <v>80</v>
      </c>
      <c r="H188" s="17">
        <v>72</v>
      </c>
      <c r="I188" s="18">
        <f t="shared" si="5"/>
        <v>81</v>
      </c>
      <c r="J188" s="15" t="s">
        <v>694</v>
      </c>
    </row>
    <row r="189" spans="1:10" ht="33.950000000000003" customHeight="1" x14ac:dyDescent="0.25">
      <c r="A189" s="19">
        <v>188</v>
      </c>
      <c r="B189" s="19" t="s">
        <v>695</v>
      </c>
      <c r="C189" s="19" t="s">
        <v>373</v>
      </c>
      <c r="D189" s="19" t="s">
        <v>696</v>
      </c>
      <c r="E189" s="19" t="s">
        <v>174</v>
      </c>
      <c r="F189" s="20">
        <v>84</v>
      </c>
      <c r="G189" s="21">
        <v>80</v>
      </c>
      <c r="H189" s="21">
        <v>72</v>
      </c>
      <c r="I189" s="22">
        <f t="shared" si="5"/>
        <v>81</v>
      </c>
      <c r="J189" s="19" t="s">
        <v>697</v>
      </c>
    </row>
    <row r="190" spans="1:10" ht="33.950000000000003" customHeight="1" x14ac:dyDescent="0.25">
      <c r="A190" s="15">
        <v>189</v>
      </c>
      <c r="B190" s="15" t="s">
        <v>698</v>
      </c>
      <c r="C190" s="15" t="s">
        <v>699</v>
      </c>
      <c r="D190" s="15" t="s">
        <v>433</v>
      </c>
      <c r="E190" s="15" t="s">
        <v>313</v>
      </c>
      <c r="F190" s="16">
        <v>83</v>
      </c>
      <c r="G190" s="17">
        <v>81</v>
      </c>
      <c r="H190" s="17">
        <v>76</v>
      </c>
      <c r="I190" s="18">
        <f t="shared" si="5"/>
        <v>81</v>
      </c>
      <c r="J190" s="15" t="s">
        <v>700</v>
      </c>
    </row>
    <row r="191" spans="1:10" ht="33.950000000000003" customHeight="1" x14ac:dyDescent="0.25">
      <c r="A191" s="19">
        <v>190</v>
      </c>
      <c r="B191" s="19" t="s">
        <v>701</v>
      </c>
      <c r="C191" s="19" t="s">
        <v>240</v>
      </c>
      <c r="D191" s="19" t="s">
        <v>702</v>
      </c>
      <c r="E191" s="19" t="s">
        <v>174</v>
      </c>
      <c r="F191" s="20">
        <v>83</v>
      </c>
      <c r="G191" s="21">
        <v>79</v>
      </c>
      <c r="H191" s="21">
        <v>76</v>
      </c>
      <c r="I191" s="22">
        <f t="shared" si="5"/>
        <v>81</v>
      </c>
      <c r="J191" s="19" t="s">
        <v>703</v>
      </c>
    </row>
    <row r="192" spans="1:10" ht="33.950000000000003" customHeight="1" x14ac:dyDescent="0.25">
      <c r="A192" s="15">
        <v>191</v>
      </c>
      <c r="B192" s="15" t="s">
        <v>704</v>
      </c>
      <c r="C192" s="15" t="s">
        <v>705</v>
      </c>
      <c r="D192" s="15" t="s">
        <v>706</v>
      </c>
      <c r="E192" s="15" t="s">
        <v>707</v>
      </c>
      <c r="F192" s="16">
        <v>82</v>
      </c>
      <c r="G192" s="17">
        <v>80</v>
      </c>
      <c r="H192" s="17">
        <v>80</v>
      </c>
      <c r="I192" s="18">
        <f t="shared" si="5"/>
        <v>81</v>
      </c>
      <c r="J192" s="15" t="s">
        <v>708</v>
      </c>
    </row>
    <row r="193" spans="1:10" ht="33.950000000000003" customHeight="1" x14ac:dyDescent="0.25">
      <c r="A193" s="19">
        <v>192</v>
      </c>
      <c r="B193" s="19" t="s">
        <v>709</v>
      </c>
      <c r="C193" s="19" t="s">
        <v>36</v>
      </c>
      <c r="D193" s="19" t="s">
        <v>41</v>
      </c>
      <c r="E193" s="19" t="s">
        <v>156</v>
      </c>
      <c r="F193" s="20">
        <v>81</v>
      </c>
      <c r="G193" s="21">
        <v>80</v>
      </c>
      <c r="H193" s="21">
        <v>84</v>
      </c>
      <c r="I193" s="22">
        <f t="shared" si="5"/>
        <v>81</v>
      </c>
      <c r="J193" s="19" t="s">
        <v>710</v>
      </c>
    </row>
    <row r="194" spans="1:10" ht="33.950000000000003" customHeight="1" x14ac:dyDescent="0.25">
      <c r="A194" s="15">
        <v>193</v>
      </c>
      <c r="B194" s="15" t="s">
        <v>711</v>
      </c>
      <c r="C194" s="15" t="s">
        <v>45</v>
      </c>
      <c r="D194" s="15" t="s">
        <v>587</v>
      </c>
      <c r="E194" s="15" t="s">
        <v>712</v>
      </c>
      <c r="F194" s="16">
        <v>85</v>
      </c>
      <c r="G194" s="17">
        <v>80</v>
      </c>
      <c r="H194" s="17">
        <v>62</v>
      </c>
      <c r="I194" s="18">
        <f t="shared" ref="I194:I225" si="6">ROUND(F194*0.55+G194*0.3+H194*0.15,0)</f>
        <v>80</v>
      </c>
      <c r="J194" s="15" t="s">
        <v>713</v>
      </c>
    </row>
    <row r="195" spans="1:10" ht="33.950000000000003" customHeight="1" x14ac:dyDescent="0.25">
      <c r="A195" s="19">
        <v>194</v>
      </c>
      <c r="B195" s="19" t="s">
        <v>714</v>
      </c>
      <c r="C195" s="19" t="s">
        <v>715</v>
      </c>
      <c r="D195" s="19" t="s">
        <v>716</v>
      </c>
      <c r="E195" s="19" t="s">
        <v>717</v>
      </c>
      <c r="F195" s="20">
        <v>85</v>
      </c>
      <c r="G195" s="21">
        <v>80</v>
      </c>
      <c r="H195" s="21">
        <v>60</v>
      </c>
      <c r="I195" s="22">
        <f t="shared" si="6"/>
        <v>80</v>
      </c>
      <c r="J195" s="19" t="s">
        <v>718</v>
      </c>
    </row>
    <row r="196" spans="1:10" ht="33.950000000000003" customHeight="1" x14ac:dyDescent="0.25">
      <c r="A196" s="15">
        <v>195</v>
      </c>
      <c r="B196" s="15" t="s">
        <v>719</v>
      </c>
      <c r="C196" s="15" t="s">
        <v>45</v>
      </c>
      <c r="D196" s="15" t="s">
        <v>720</v>
      </c>
      <c r="E196" s="15" t="s">
        <v>721</v>
      </c>
      <c r="F196" s="16">
        <v>83</v>
      </c>
      <c r="G196" s="17">
        <v>80</v>
      </c>
      <c r="H196" s="17">
        <v>72</v>
      </c>
      <c r="I196" s="18">
        <f t="shared" si="6"/>
        <v>80</v>
      </c>
      <c r="J196" s="15" t="s">
        <v>722</v>
      </c>
    </row>
    <row r="197" spans="1:10" ht="33.950000000000003" customHeight="1" x14ac:dyDescent="0.25">
      <c r="A197" s="19">
        <v>196</v>
      </c>
      <c r="B197" s="19" t="s">
        <v>723</v>
      </c>
      <c r="C197" s="19" t="s">
        <v>101</v>
      </c>
      <c r="D197" s="19" t="s">
        <v>724</v>
      </c>
      <c r="E197" s="19" t="s">
        <v>262</v>
      </c>
      <c r="F197" s="20">
        <v>82</v>
      </c>
      <c r="G197" s="21">
        <v>80</v>
      </c>
      <c r="H197" s="21">
        <v>76</v>
      </c>
      <c r="I197" s="22">
        <f t="shared" si="6"/>
        <v>81</v>
      </c>
      <c r="J197" s="19" t="s">
        <v>725</v>
      </c>
    </row>
    <row r="198" spans="1:10" ht="33.950000000000003" customHeight="1" x14ac:dyDescent="0.25">
      <c r="A198" s="15">
        <v>197</v>
      </c>
      <c r="B198" s="15" t="s">
        <v>726</v>
      </c>
      <c r="C198" s="15" t="s">
        <v>373</v>
      </c>
      <c r="D198" s="15" t="s">
        <v>727</v>
      </c>
      <c r="E198" s="15" t="s">
        <v>33</v>
      </c>
      <c r="F198" s="16">
        <v>82</v>
      </c>
      <c r="G198" s="17">
        <v>78</v>
      </c>
      <c r="H198" s="17">
        <v>80</v>
      </c>
      <c r="I198" s="18">
        <f t="shared" si="6"/>
        <v>81</v>
      </c>
      <c r="J198" s="15" t="s">
        <v>728</v>
      </c>
    </row>
    <row r="199" spans="1:10" ht="33.950000000000003" customHeight="1" x14ac:dyDescent="0.25">
      <c r="A199" s="19">
        <v>198</v>
      </c>
      <c r="B199" s="19" t="s">
        <v>729</v>
      </c>
      <c r="C199" s="19" t="s">
        <v>26</v>
      </c>
      <c r="D199" s="19" t="s">
        <v>730</v>
      </c>
      <c r="E199" s="19" t="s">
        <v>56</v>
      </c>
      <c r="F199" s="20">
        <v>82</v>
      </c>
      <c r="G199" s="21">
        <v>78</v>
      </c>
      <c r="H199" s="21">
        <v>78</v>
      </c>
      <c r="I199" s="22">
        <f t="shared" si="6"/>
        <v>80</v>
      </c>
      <c r="J199" s="19" t="s">
        <v>731</v>
      </c>
    </row>
    <row r="200" spans="1:10" ht="33.950000000000003" customHeight="1" x14ac:dyDescent="0.25">
      <c r="A200" s="15">
        <v>199</v>
      </c>
      <c r="B200" s="15" t="s">
        <v>732</v>
      </c>
      <c r="C200" s="15" t="s">
        <v>110</v>
      </c>
      <c r="D200" s="15" t="s">
        <v>32</v>
      </c>
      <c r="E200" s="15" t="s">
        <v>712</v>
      </c>
      <c r="F200" s="16">
        <v>84</v>
      </c>
      <c r="G200" s="17">
        <v>79</v>
      </c>
      <c r="H200" s="17">
        <v>60</v>
      </c>
      <c r="I200" s="18">
        <f t="shared" si="6"/>
        <v>79</v>
      </c>
      <c r="J200" s="15" t="s">
        <v>733</v>
      </c>
    </row>
    <row r="201" spans="1:10" ht="33.950000000000003" customHeight="1" x14ac:dyDescent="0.25">
      <c r="A201" s="19">
        <v>200</v>
      </c>
      <c r="B201" s="19" t="s">
        <v>734</v>
      </c>
      <c r="C201" s="19" t="s">
        <v>31</v>
      </c>
      <c r="D201" s="19" t="s">
        <v>607</v>
      </c>
      <c r="E201" s="19" t="s">
        <v>735</v>
      </c>
      <c r="F201" s="20">
        <v>86</v>
      </c>
      <c r="G201" s="21">
        <v>79</v>
      </c>
      <c r="H201" s="21">
        <v>50</v>
      </c>
      <c r="I201" s="22">
        <f t="shared" si="6"/>
        <v>79</v>
      </c>
      <c r="J201" s="19" t="s">
        <v>736</v>
      </c>
    </row>
  </sheetData>
  <conditionalFormatting sqref="I2:I2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>
      <selection sqref="A1:E1"/>
    </sheetView>
  </sheetViews>
  <sheetFormatPr defaultRowHeight="15" x14ac:dyDescent="0.25"/>
  <cols>
    <col min="1" max="1" width="24" customWidth="1"/>
    <col min="2" max="2" width="100" customWidth="1"/>
  </cols>
  <sheetData>
    <row r="1" spans="1:5" ht="21" x14ac:dyDescent="0.35">
      <c r="A1" s="24" t="s">
        <v>737</v>
      </c>
      <c r="B1" s="25"/>
      <c r="C1" s="25"/>
      <c r="D1" s="25"/>
      <c r="E1" s="25"/>
    </row>
    <row r="2" spans="1:5" x14ac:dyDescent="0.25">
      <c r="A2" s="1" t="s">
        <v>738</v>
      </c>
      <c r="B2" s="1" t="s">
        <v>739</v>
      </c>
      <c r="C2" s="1"/>
      <c r="D2" s="1"/>
      <c r="E2" s="1"/>
    </row>
    <row r="3" spans="1:5" ht="30" x14ac:dyDescent="0.25">
      <c r="A3" s="23" t="s">
        <v>740</v>
      </c>
      <c r="B3" s="23" t="s">
        <v>741</v>
      </c>
      <c r="C3" s="23"/>
      <c r="D3" s="23"/>
      <c r="E3" s="23"/>
    </row>
    <row r="4" spans="1:5" x14ac:dyDescent="0.25">
      <c r="A4" s="23" t="s">
        <v>742</v>
      </c>
      <c r="B4" s="23" t="s">
        <v>743</v>
      </c>
      <c r="C4" s="23"/>
      <c r="D4" s="23"/>
      <c r="E4" s="23"/>
    </row>
    <row r="5" spans="1:5" x14ac:dyDescent="0.25">
      <c r="A5" s="23" t="s">
        <v>744</v>
      </c>
      <c r="B5" s="23" t="s">
        <v>745</v>
      </c>
      <c r="C5" s="23"/>
      <c r="D5" s="23"/>
      <c r="E5" s="23"/>
    </row>
    <row r="6" spans="1:5" x14ac:dyDescent="0.25">
      <c r="A6" s="23" t="s">
        <v>746</v>
      </c>
      <c r="B6" s="23" t="s">
        <v>747</v>
      </c>
      <c r="C6" s="23"/>
      <c r="D6" s="23"/>
      <c r="E6" s="23"/>
    </row>
    <row r="7" spans="1:5" x14ac:dyDescent="0.25">
      <c r="A7" s="23" t="s">
        <v>748</v>
      </c>
      <c r="B7" s="23" t="e">
        <f>ROUND(Prime*55% + Legacy*30% + Longevity*15%, 0)</f>
        <v>#NAME?</v>
      </c>
      <c r="C7" s="23"/>
      <c r="D7" s="23"/>
      <c r="E7" s="23"/>
    </row>
    <row r="8" spans="1:5" x14ac:dyDescent="0.25">
      <c r="A8" s="23" t="s">
        <v>749</v>
      </c>
      <c r="B8" s="23" t="s">
        <v>750</v>
      </c>
      <c r="C8" s="23"/>
      <c r="D8" s="23"/>
      <c r="E8" s="23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showGridLines="0" workbookViewId="0">
      <selection sqref="A1:D1"/>
    </sheetView>
  </sheetViews>
  <sheetFormatPr defaultRowHeight="15" x14ac:dyDescent="0.25"/>
  <cols>
    <col min="1" max="1" width="36" customWidth="1"/>
    <col min="2" max="2" width="60" customWidth="1"/>
    <col min="3" max="3" width="82" customWidth="1"/>
    <col min="4" max="4" width="40" customWidth="1"/>
  </cols>
  <sheetData>
    <row r="1" spans="1:4" ht="21" x14ac:dyDescent="0.35">
      <c r="A1" s="24" t="s">
        <v>751</v>
      </c>
      <c r="B1" s="25"/>
      <c r="C1" s="25"/>
      <c r="D1" s="25"/>
    </row>
    <row r="2" spans="1:4" x14ac:dyDescent="0.25">
      <c r="A2" s="1" t="s">
        <v>752</v>
      </c>
      <c r="B2" s="1" t="s">
        <v>753</v>
      </c>
      <c r="C2" s="1" t="s">
        <v>754</v>
      </c>
      <c r="D2" s="1" t="s">
        <v>755</v>
      </c>
    </row>
    <row r="3" spans="1:4" x14ac:dyDescent="0.25">
      <c r="A3" s="23" t="s">
        <v>756</v>
      </c>
      <c r="B3" s="23" t="s">
        <v>757</v>
      </c>
      <c r="C3" s="23" t="s">
        <v>758</v>
      </c>
      <c r="D3" s="23" t="s">
        <v>759</v>
      </c>
    </row>
    <row r="4" spans="1:4" ht="30" x14ac:dyDescent="0.25">
      <c r="A4" s="23" t="s">
        <v>760</v>
      </c>
      <c r="B4" s="23" t="s">
        <v>761</v>
      </c>
      <c r="C4" s="23" t="s">
        <v>762</v>
      </c>
      <c r="D4" s="23" t="s">
        <v>763</v>
      </c>
    </row>
    <row r="5" spans="1:4" ht="30" x14ac:dyDescent="0.25">
      <c r="A5" s="23" t="s">
        <v>764</v>
      </c>
      <c r="B5" s="23" t="s">
        <v>765</v>
      </c>
      <c r="C5" s="23" t="s">
        <v>766</v>
      </c>
      <c r="D5" s="23" t="s">
        <v>763</v>
      </c>
    </row>
    <row r="6" spans="1:4" ht="30" x14ac:dyDescent="0.25">
      <c r="A6" s="23" t="s">
        <v>767</v>
      </c>
      <c r="B6" s="23" t="s">
        <v>768</v>
      </c>
      <c r="C6" s="23" t="s">
        <v>769</v>
      </c>
      <c r="D6" s="23" t="s">
        <v>770</v>
      </c>
    </row>
  </sheetData>
  <mergeCells count="1">
    <mergeCell ref="A1:D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 200</vt:lpstr>
      <vt:lpstr>Methodology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Argile, Daven</dc:creator>
  <cp:lastModifiedBy>Argile, Daven</cp:lastModifiedBy>
  <dcterms:created xsi:type="dcterms:W3CDTF">2026-07-28T09:33:53Z</dcterms:created>
  <dcterms:modified xsi:type="dcterms:W3CDTF">2026-07-28T09:38:05Z</dcterms:modified>
</cp:coreProperties>
</file>