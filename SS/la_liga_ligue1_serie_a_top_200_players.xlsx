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en.Argile\Documents\fifa-5aside-game\"/>
    </mc:Choice>
  </mc:AlternateContent>
  <xr:revisionPtr revIDLastSave="0" documentId="8_{A4D6A5BA-6589-4A84-9218-32EC5C2EA04E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Summary" sheetId="1" r:id="rId1"/>
    <sheet name="La Liga" sheetId="2" r:id="rId2"/>
    <sheet name="Serie A" sheetId="3" r:id="rId3"/>
    <sheet name="Ligue 1" sheetId="4" r:id="rId4"/>
    <sheet name="Methodology" sheetId="5" r:id="rId5"/>
    <sheet name="Sour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4" l="1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E5" i="1" s="1"/>
  <c r="I5" i="4"/>
  <c r="I4" i="4"/>
  <c r="I3" i="4"/>
  <c r="I2" i="4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E4" i="1" s="1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E3" i="1" s="1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D3" i="1" s="1"/>
  <c r="I11" i="2"/>
  <c r="I10" i="2"/>
  <c r="I9" i="2"/>
  <c r="I8" i="2"/>
  <c r="I7" i="2"/>
  <c r="I6" i="2"/>
  <c r="I5" i="2"/>
  <c r="I4" i="2"/>
  <c r="I3" i="2"/>
  <c r="I2" i="2"/>
  <c r="G5" i="1"/>
  <c r="F5" i="1"/>
  <c r="C5" i="1"/>
  <c r="B5" i="1"/>
  <c r="G4" i="1"/>
  <c r="F4" i="1"/>
  <c r="C4" i="1"/>
  <c r="B4" i="1"/>
  <c r="G3" i="1"/>
  <c r="F3" i="1"/>
  <c r="C3" i="1"/>
  <c r="B3" i="1"/>
  <c r="D5" i="1" l="1"/>
  <c r="D4" i="1"/>
</calcChain>
</file>

<file path=xl/sharedStrings.xml><?xml version="1.0" encoding="utf-8"?>
<sst xmlns="http://schemas.openxmlformats.org/spreadsheetml/2006/main" count="3079" uniqueCount="1065">
  <si>
    <t>Refined La Liga, Ligue 1 and Serie A - Top 200 all-time players</t>
  </si>
  <si>
    <t>League</t>
  </si>
  <si>
    <t>Players</t>
  </si>
  <si>
    <t>Top ranked player</t>
  </si>
  <si>
    <t>Average rating</t>
  </si>
  <si>
    <t>Players rated 90+</t>
  </si>
  <si>
    <t>Generic positions left</t>
  </si>
  <si>
    <t>Generic clubs left</t>
  </si>
  <si>
    <t>La Liga</t>
  </si>
  <si>
    <t>Serie A</t>
  </si>
  <si>
    <t>Ligue 1</t>
  </si>
  <si>
    <t>Rank</t>
  </si>
  <si>
    <t>Player</t>
  </si>
  <si>
    <t>Primary Position</t>
  </si>
  <si>
    <t>Main League Club(s)</t>
  </si>
  <si>
    <t>League Era / Context</t>
  </si>
  <si>
    <t>Prime Score</t>
  </si>
  <si>
    <t>Legacy Score</t>
  </si>
  <si>
    <t>Longevity Score</t>
  </si>
  <si>
    <t>Overall Rating</t>
  </si>
  <si>
    <t>Short rationale</t>
  </si>
  <si>
    <t>Lionel Messi</t>
  </si>
  <si>
    <t>RW/AM</t>
  </si>
  <si>
    <t>Barcelona</t>
  </si>
  <si>
    <t>All-time league ranking</t>
  </si>
  <si>
    <t>Ranked for La Liga impact: prime level first, then league legacy/legend status, with longevity as a supporting factor.</t>
  </si>
  <si>
    <t>Cristiano Ronaldo</t>
  </si>
  <si>
    <t>LW/ST</t>
  </si>
  <si>
    <t>Real Madrid</t>
  </si>
  <si>
    <t>Alfredo Di Stefano</t>
  </si>
  <si>
    <t>SS/CF</t>
  </si>
  <si>
    <t>Real Madrid, Espanyol</t>
  </si>
  <si>
    <t>Xavi</t>
  </si>
  <si>
    <t>CM</t>
  </si>
  <si>
    <t>Andres Iniesta</t>
  </si>
  <si>
    <t>CM/AM</t>
  </si>
  <si>
    <t>Johan Cruyff</t>
  </si>
  <si>
    <t>AM/FW</t>
  </si>
  <si>
    <t>Zinedine Zidane</t>
  </si>
  <si>
    <t>AM/CM</t>
  </si>
  <si>
    <t>Ronaldinho</t>
  </si>
  <si>
    <t>LW/AM</t>
  </si>
  <si>
    <t>Luis Suarez</t>
  </si>
  <si>
    <t>ST</t>
  </si>
  <si>
    <t>Barcelona, Atletico Madrid</t>
  </si>
  <si>
    <t>Karim Benzema</t>
  </si>
  <si>
    <t>Raul</t>
  </si>
  <si>
    <t>ST/SS</t>
  </si>
  <si>
    <t>Ferenc Puskas</t>
  </si>
  <si>
    <t>Sergio Ramos</t>
  </si>
  <si>
    <t>CB</t>
  </si>
  <si>
    <t>Sevilla, Real Madrid</t>
  </si>
  <si>
    <t>Iker Casillas</t>
  </si>
  <si>
    <t>GK</t>
  </si>
  <si>
    <t>Luka Modric</t>
  </si>
  <si>
    <t>Sergio Busquets</t>
  </si>
  <si>
    <t>DM</t>
  </si>
  <si>
    <t>Xabi Alonso</t>
  </si>
  <si>
    <t>DM/CM</t>
  </si>
  <si>
    <t>Real Sociedad, Real Madrid</t>
  </si>
  <si>
    <t>Neymar</t>
  </si>
  <si>
    <t>LW</t>
  </si>
  <si>
    <t>Ronaldo Nazario</t>
  </si>
  <si>
    <t>Barcelona, Real Madrid</t>
  </si>
  <si>
    <t>Romario</t>
  </si>
  <si>
    <t>Barcelona, Valencia</t>
  </si>
  <si>
    <t>Samuel Eto'o</t>
  </si>
  <si>
    <t>Leganes, Espanyol, Mallorca, Barcelona</t>
  </si>
  <si>
    <t>Ladislav Kubala</t>
  </si>
  <si>
    <t>FW/AM</t>
  </si>
  <si>
    <t>Barcelona, Espanyol</t>
  </si>
  <si>
    <t>Luis Figo</t>
  </si>
  <si>
    <t>Hugo Sanchez</t>
  </si>
  <si>
    <t>Atletico Madrid, Real Madrid, Rayo Vallecano</t>
  </si>
  <si>
    <t>Telmo Zarra</t>
  </si>
  <si>
    <t>Athletic Club</t>
  </si>
  <si>
    <t>Paco Gento</t>
  </si>
  <si>
    <t>Pirri</t>
  </si>
  <si>
    <t>CM/CB</t>
  </si>
  <si>
    <t>Emilio Butragueno</t>
  </si>
  <si>
    <t>Santillana</t>
  </si>
  <si>
    <t>Fernando Hierro</t>
  </si>
  <si>
    <t>CB/DM</t>
  </si>
  <si>
    <t>Real Valladolid, Real Madrid</t>
  </si>
  <si>
    <t>Carles Puyol</t>
  </si>
  <si>
    <t>Dani Alves</t>
  </si>
  <si>
    <t>RB</t>
  </si>
  <si>
    <t>Sevilla, Barcelona</t>
  </si>
  <si>
    <t>Roberto Carlos</t>
  </si>
  <si>
    <t>LB</t>
  </si>
  <si>
    <t>Marcelo</t>
  </si>
  <si>
    <t>Gerard Pique</t>
  </si>
  <si>
    <t>David Villa</t>
  </si>
  <si>
    <t>ST/LW</t>
  </si>
  <si>
    <t>Real Zaragoza, Valencia, Barcelona, Atletico Madrid</t>
  </si>
  <si>
    <t>Antoine Griezmann</t>
  </si>
  <si>
    <t>SS/FW</t>
  </si>
  <si>
    <t>Real Sociedad, Atletico Madrid, Barcelona</t>
  </si>
  <si>
    <t>Diego Godin</t>
  </si>
  <si>
    <t>Villarreal, Atletico Madrid</t>
  </si>
  <si>
    <t>Jan Oblak</t>
  </si>
  <si>
    <t>Atletico Madrid</t>
  </si>
  <si>
    <t>Thibaut Courtois</t>
  </si>
  <si>
    <t>Atletico Madrid, Real Madrid</t>
  </si>
  <si>
    <t>Diego Simeone</t>
  </si>
  <si>
    <t>CM/DM</t>
  </si>
  <si>
    <t>Sevilla, Atletico Madrid</t>
  </si>
  <si>
    <t>Koke</t>
  </si>
  <si>
    <t>Luis Aragones</t>
  </si>
  <si>
    <t>AM/ST</t>
  </si>
  <si>
    <t>Quini</t>
  </si>
  <si>
    <t>Sporting Gijon, Barcelona</t>
  </si>
  <si>
    <t>Cesar Rodriguez</t>
  </si>
  <si>
    <t>Granada, Barcelona, Elche</t>
  </si>
  <si>
    <t>Rivaldo</t>
  </si>
  <si>
    <t>AM/LW</t>
  </si>
  <si>
    <t>Deportivo La Coruna, Barcelona</t>
  </si>
  <si>
    <t>Hristo Stoichkov</t>
  </si>
  <si>
    <t>FW/LW</t>
  </si>
  <si>
    <t>Michael Laudrup</t>
  </si>
  <si>
    <t>AM</t>
  </si>
  <si>
    <t>Bernd Schuster</t>
  </si>
  <si>
    <t>Barcelona, Real Madrid, Atletico Madrid</t>
  </si>
  <si>
    <t>Gheorghe Hagi</t>
  </si>
  <si>
    <t>Real Madrid, Barcelona</t>
  </si>
  <si>
    <t>Fernando Redondo</t>
  </si>
  <si>
    <t>Tenerife, Real Madrid</t>
  </si>
  <si>
    <t>Claude Makelele</t>
  </si>
  <si>
    <t>Celta Vigo, Real Madrid</t>
  </si>
  <si>
    <t>Deco</t>
  </si>
  <si>
    <t>Juan Roman Riquelme</t>
  </si>
  <si>
    <t>Barcelona, Villarreal</t>
  </si>
  <si>
    <t>Diego Forlan</t>
  </si>
  <si>
    <t>Sergio Aguero</t>
  </si>
  <si>
    <t>Fernando Torres</t>
  </si>
  <si>
    <t>Joaquin</t>
  </si>
  <si>
    <t>RW</t>
  </si>
  <si>
    <t>Real Betis, Valencia, Malaga</t>
  </si>
  <si>
    <t>David Silva</t>
  </si>
  <si>
    <t>AM/LM</t>
  </si>
  <si>
    <t>Valencia, Eibar, Celta Vigo</t>
  </si>
  <si>
    <t>Toni Kroos</t>
  </si>
  <si>
    <t>Santi Cazorla</t>
  </si>
  <si>
    <t>Villarreal, Malaga</t>
  </si>
  <si>
    <t>Juan Carlos Valeron</t>
  </si>
  <si>
    <t>Mallorca, Atletico Madrid, Deportivo La Coruna</t>
  </si>
  <si>
    <t>Gaizka Mendieta</t>
  </si>
  <si>
    <t>CM/RM</t>
  </si>
  <si>
    <t>Valencia, Barcelona</t>
  </si>
  <si>
    <t>Pablo Aimar</t>
  </si>
  <si>
    <t>Valencia, Real Zaragoza</t>
  </si>
  <si>
    <t>Ivan Rakitic</t>
  </si>
  <si>
    <t>Dani Carvajal</t>
  </si>
  <si>
    <t>Juanito</t>
  </si>
  <si>
    <t>FW/RW</t>
  </si>
  <si>
    <t>Burgos, Real Madrid, Malaga</t>
  </si>
  <si>
    <t>Luis Enrique</t>
  </si>
  <si>
    <t>CM/RW</t>
  </si>
  <si>
    <t>Sporting Gijon, Real Madrid, Barcelona</t>
  </si>
  <si>
    <t>Pep Guardiola</t>
  </si>
  <si>
    <t>Jordi Alba</t>
  </si>
  <si>
    <t>Seydou Keita</t>
  </si>
  <si>
    <t>Sevilla, Barcelona, Valencia</t>
  </si>
  <si>
    <t>Rafael Marquez</t>
  </si>
  <si>
    <t>Javier Mascherano</t>
  </si>
  <si>
    <t>Javier Saviola</t>
  </si>
  <si>
    <t>Barcelona, Sevilla, Real Madrid, Malaga</t>
  </si>
  <si>
    <t>Patrick Kluivert</t>
  </si>
  <si>
    <t>Rafael van der Vaart</t>
  </si>
  <si>
    <t>Real Madrid, Real Betis</t>
  </si>
  <si>
    <t>Ruud van Nistelrooy</t>
  </si>
  <si>
    <t>Real Madrid, Malaga</t>
  </si>
  <si>
    <t>Arjen Robben</t>
  </si>
  <si>
    <t>RW/LW</t>
  </si>
  <si>
    <t>Gareth Bale</t>
  </si>
  <si>
    <t>Eden Hazard</t>
  </si>
  <si>
    <t>Isco</t>
  </si>
  <si>
    <t>Valencia, Malaga, Real Madrid, Sevilla, Real Betis</t>
  </si>
  <si>
    <t>Marco Asensio</t>
  </si>
  <si>
    <t>Mallorca, Espanyol, Real Madrid</t>
  </si>
  <si>
    <t>Casemiro</t>
  </si>
  <si>
    <t>Vinicius Junior</t>
  </si>
  <si>
    <t>Rodrygo</t>
  </si>
  <si>
    <t>Jude Bellingham</t>
  </si>
  <si>
    <t>Kylian Mbappe</t>
  </si>
  <si>
    <t>Robert Lewandowski</t>
  </si>
  <si>
    <t>Pedri</t>
  </si>
  <si>
    <t>Gavi</t>
  </si>
  <si>
    <t>Lamine Yamal</t>
  </si>
  <si>
    <t>Aritz Aduriz</t>
  </si>
  <si>
    <t>Athletic Club, Mallorca, Valencia</t>
  </si>
  <si>
    <t>Iago Aspas</t>
  </si>
  <si>
    <t>ST/FW</t>
  </si>
  <si>
    <t>Celta Vigo, Sevilla</t>
  </si>
  <si>
    <t>Diego Tristan</t>
  </si>
  <si>
    <t>Mallorca, Deportivo La Coruna</t>
  </si>
  <si>
    <t>Roy Makaay</t>
  </si>
  <si>
    <t>Tenerife, Deportivo La Coruna</t>
  </si>
  <si>
    <t>Djalminha</t>
  </si>
  <si>
    <t>Deportivo La Coruna</t>
  </si>
  <si>
    <t>Fran</t>
  </si>
  <si>
    <t>LM/CM</t>
  </si>
  <si>
    <t>Mauro Silva</t>
  </si>
  <si>
    <t>Donato</t>
  </si>
  <si>
    <t>Atletico Madrid, Deportivo La Coruna</t>
  </si>
  <si>
    <t>Jose Antonio Reyes</t>
  </si>
  <si>
    <t>LW/RW</t>
  </si>
  <si>
    <t>Sevilla, Real Madrid, Atletico Madrid, Espanyol</t>
  </si>
  <si>
    <t>Jesus Navas</t>
  </si>
  <si>
    <t>RW/RB</t>
  </si>
  <si>
    <t>Sevilla</t>
  </si>
  <si>
    <t>Ivan Helguera</t>
  </si>
  <si>
    <t>Espanyol, Real Madrid, Valencia</t>
  </si>
  <si>
    <t>Michel Salgado</t>
  </si>
  <si>
    <t>Santiago Canizares</t>
  </si>
  <si>
    <t>Real Madrid, Celta Vigo, Valencia</t>
  </si>
  <si>
    <t>Andoni Zubizarreta</t>
  </si>
  <si>
    <t>Athletic Club, Barcelona, Valencia</t>
  </si>
  <si>
    <t>Paco Buyo</t>
  </si>
  <si>
    <t>Jose Luis Chilavert</t>
  </si>
  <si>
    <t>Real Zaragoza</t>
  </si>
  <si>
    <t>Victor Valdes</t>
  </si>
  <si>
    <t>Pepe Reina</t>
  </si>
  <si>
    <t>Villarreal, Barcelona</t>
  </si>
  <si>
    <t>Cesar Sanchez</t>
  </si>
  <si>
    <t>Real Valladolid, Real Madrid, Valencia, Villarreal</t>
  </si>
  <si>
    <t>Ruben Baraja</t>
  </si>
  <si>
    <t>Valladolid, Atletico Madrid, Valencia</t>
  </si>
  <si>
    <t>David Albelda</t>
  </si>
  <si>
    <t>Valencia</t>
  </si>
  <si>
    <t>Roberto Ayala</t>
  </si>
  <si>
    <t>Pablo Hernandez</t>
  </si>
  <si>
    <t>Valencia, Getafe, Rayo Vallecano</t>
  </si>
  <si>
    <t>David Alaba</t>
  </si>
  <si>
    <t>LB/CB</t>
  </si>
  <si>
    <t>Pepe</t>
  </si>
  <si>
    <t>Raphael Varane</t>
  </si>
  <si>
    <t>Eder Militao</t>
  </si>
  <si>
    <t>Filipe Luis</t>
  </si>
  <si>
    <t>Deportivo La Coruna, Atletico Madrid</t>
  </si>
  <si>
    <t>Juanfran</t>
  </si>
  <si>
    <t>RB/RW</t>
  </si>
  <si>
    <t>Real Madrid, Osasuna, Atletico Madrid</t>
  </si>
  <si>
    <t>Gabi</t>
  </si>
  <si>
    <t>Atletico Madrid, Real Zaragoza</t>
  </si>
  <si>
    <t>Saul Niguez</t>
  </si>
  <si>
    <t>Atletico Madrid, Rayo Vallecano, Sevilla</t>
  </si>
  <si>
    <t>Radamel Falcao</t>
  </si>
  <si>
    <t>Atletico Madrid, Rayo Vallecano</t>
  </si>
  <si>
    <t>Diego Costa</t>
  </si>
  <si>
    <t>Atletico Madrid, Celta Vigo, Valladolid, Rayo Vallecano</t>
  </si>
  <si>
    <t>Mario Mandzukic</t>
  </si>
  <si>
    <t>Alvaro Morata</t>
  </si>
  <si>
    <t>Real Madrid, Atletico Madrid</t>
  </si>
  <si>
    <t>Thierry Henry</t>
  </si>
  <si>
    <t>Cesc Fabregas</t>
  </si>
  <si>
    <t>Alexis Sanchez</t>
  </si>
  <si>
    <t>RW/FW</t>
  </si>
  <si>
    <t>Pedro</t>
  </si>
  <si>
    <t>Raul Tamudo</t>
  </si>
  <si>
    <t>Espanyol, Real Sociedad, Rayo Vallecano</t>
  </si>
  <si>
    <t>Ivan de la Pena</t>
  </si>
  <si>
    <t>Sergio Garcia</t>
  </si>
  <si>
    <t>Barcelona, Real Zaragoza, Real Betis, Espanyol</t>
  </si>
  <si>
    <t>Dani Parejo</t>
  </si>
  <si>
    <t>Real Madrid, Getafe, Valencia, Villarreal</t>
  </si>
  <si>
    <t>Ever Banega</t>
  </si>
  <si>
    <t>Valencia, Atletico Madrid, Sevilla</t>
  </si>
  <si>
    <t>Frederic Kanoute</t>
  </si>
  <si>
    <t>Julio Baptista</t>
  </si>
  <si>
    <t>Sevilla, Real Madrid, Malaga</t>
  </si>
  <si>
    <t>Luis Fabiano</t>
  </si>
  <si>
    <t>Ivan Zamorano</t>
  </si>
  <si>
    <t>Predrag Mijatovic</t>
  </si>
  <si>
    <t>Valencia, Real Madrid</t>
  </si>
  <si>
    <t>Davor Suker</t>
  </si>
  <si>
    <t>Clarence Seedorf</t>
  </si>
  <si>
    <t>Michael Owen</t>
  </si>
  <si>
    <t>Steve McManaman</t>
  </si>
  <si>
    <t>RM/AM</t>
  </si>
  <si>
    <t>Luis Garcia</t>
  </si>
  <si>
    <t>AM/W</t>
  </si>
  <si>
    <t>Barcelona, Atletico Madrid, Espanyol</t>
  </si>
  <si>
    <t>Mikel Oyarzabal</t>
  </si>
  <si>
    <t>LW/FW</t>
  </si>
  <si>
    <t>Real Sociedad</t>
  </si>
  <si>
    <t>Takefusa Kubo</t>
  </si>
  <si>
    <t>Mallorca, Villarreal, Getafe, Real Sociedad</t>
  </si>
  <si>
    <t>Nihat Kahveci</t>
  </si>
  <si>
    <t>Real Sociedad, Villarreal</t>
  </si>
  <si>
    <t>Xabi Prieto</t>
  </si>
  <si>
    <t>Darko Kovacevic</t>
  </si>
  <si>
    <t>Valery Karpin</t>
  </si>
  <si>
    <t>Real Sociedad, Valencia, Celta Vigo</t>
  </si>
  <si>
    <t>Meho Kodro</t>
  </si>
  <si>
    <t>Real Sociedad, Barcelona, Alaves</t>
  </si>
  <si>
    <t>Julen Guerrero</t>
  </si>
  <si>
    <t>Aitor Karanka</t>
  </si>
  <si>
    <t>Athletic Club, Real Madrid</t>
  </si>
  <si>
    <t>Joseba Etxeberria</t>
  </si>
  <si>
    <t>RW/ST</t>
  </si>
  <si>
    <t>Real Sociedad, Athletic Club</t>
  </si>
  <si>
    <t>Ismael Urzaiz</t>
  </si>
  <si>
    <t>Athletic Club, Espanyol, Albacete, Celta Vigo, Rayo Vallecano</t>
  </si>
  <si>
    <t>Andoni Goikoetxea</t>
  </si>
  <si>
    <t>Athletic Club, Atletico Madrid</t>
  </si>
  <si>
    <t>Jose Angel Iribar</t>
  </si>
  <si>
    <t>Jose Mari Bakero</t>
  </si>
  <si>
    <t>Real Sociedad, Barcelona</t>
  </si>
  <si>
    <t>Txiki Begiristain</t>
  </si>
  <si>
    <t>Real Sociedad, Barcelona, Deportivo La Coruna</t>
  </si>
  <si>
    <t>Guillermo Amor</t>
  </si>
  <si>
    <t>Eusebio Sacristan</t>
  </si>
  <si>
    <t>Valladolid, Atletico Madrid, Barcelona, Celta Vigo</t>
  </si>
  <si>
    <t>Albert Ferrer</t>
  </si>
  <si>
    <t>Migueli</t>
  </si>
  <si>
    <t>Miguel Angel Nadal</t>
  </si>
  <si>
    <t>Mallorca, Barcelona</t>
  </si>
  <si>
    <t>Luis Suarez Miramontes</t>
  </si>
  <si>
    <t>Barcelona, Deportivo La Coruna</t>
  </si>
  <si>
    <t>Carmelo Cedrun</t>
  </si>
  <si>
    <t>Athletic Club, Espanyol</t>
  </si>
  <si>
    <t>Agustin Gainza</t>
  </si>
  <si>
    <t>Josef Samitier</t>
  </si>
  <si>
    <t>Ricardo Zamora</t>
  </si>
  <si>
    <t>Espanyol, Barcelona, Real Madrid</t>
  </si>
  <si>
    <t>Jose Santamaria</t>
  </si>
  <si>
    <t>Hector Rial</t>
  </si>
  <si>
    <t>FW</t>
  </si>
  <si>
    <t>Amancio</t>
  </si>
  <si>
    <t>Manuel Sanchis</t>
  </si>
  <si>
    <t>Martin Vazquez</t>
  </si>
  <si>
    <t>Real Madrid, Deportivo La Coruna</t>
  </si>
  <si>
    <t>Michel</t>
  </si>
  <si>
    <t>RM</t>
  </si>
  <si>
    <t>Manolo Sanchis</t>
  </si>
  <si>
    <t>Rafael Gordillo</t>
  </si>
  <si>
    <t>LB/LM</t>
  </si>
  <si>
    <t>Real Betis, Real Madrid</t>
  </si>
  <si>
    <t>Camacho</t>
  </si>
  <si>
    <t>Chendo</t>
  </si>
  <si>
    <t>Miguel Munoz</t>
  </si>
  <si>
    <t>Gunter Netzer</t>
  </si>
  <si>
    <t>Laurie Cunningham</t>
  </si>
  <si>
    <t>Real Madrid, Sporting Gijon, Rayo Vallecano</t>
  </si>
  <si>
    <t>Jorge Valdano</t>
  </si>
  <si>
    <t>Real Zaragoza, Real Madrid</t>
  </si>
  <si>
    <t>Hugo Mallo</t>
  </si>
  <si>
    <t>Celta Vigo</t>
  </si>
  <si>
    <t>Santi Mina</t>
  </si>
  <si>
    <t>Celta Vigo, Valencia</t>
  </si>
  <si>
    <t>Gerard Moreno</t>
  </si>
  <si>
    <t>ST/RW</t>
  </si>
  <si>
    <t>Villarreal, Espanyol</t>
  </si>
  <si>
    <t>Pau Torres</t>
  </si>
  <si>
    <t>Marcos Senna</t>
  </si>
  <si>
    <t>Villarreal</t>
  </si>
  <si>
    <t>Bruno Soriano</t>
  </si>
  <si>
    <t>Juan Pablo Sorin</t>
  </si>
  <si>
    <t>Cafu</t>
  </si>
  <si>
    <t>Fabio Cannavaro</t>
  </si>
  <si>
    <t>Gianluca Zambrotta</t>
  </si>
  <si>
    <t>RB/LB</t>
  </si>
  <si>
    <t>Yaya Toure</t>
  </si>
  <si>
    <t>Emmanuel Petit</t>
  </si>
  <si>
    <t>Sonny Anderson</t>
  </si>
  <si>
    <t>Nacho</t>
  </si>
  <si>
    <t>CB/RB</t>
  </si>
  <si>
    <t>Lucas Vazquez</t>
  </si>
  <si>
    <t>Jose Luis Morales</t>
  </si>
  <si>
    <t>Levante, Villarreal</t>
  </si>
  <si>
    <t>Diego Maradona</t>
  </si>
  <si>
    <t>AM/SS</t>
  </si>
  <si>
    <t>Napoli</t>
  </si>
  <si>
    <t>Ranked for Serie A impact: prime level first, then league legacy/legend status, with longevity as a supporting factor.</t>
  </si>
  <si>
    <t>Paolo Maldini</t>
  </si>
  <si>
    <t>AC Milan</t>
  </si>
  <si>
    <t>Francesco Totti</t>
  </si>
  <si>
    <t>SS/AM</t>
  </si>
  <si>
    <t>Roma</t>
  </si>
  <si>
    <t>Roberto Baggio</t>
  </si>
  <si>
    <t>Fiorentina, Juventus, AC Milan, Bologna, Inter, Brescia</t>
  </si>
  <si>
    <t>Gianluigi Buffon</t>
  </si>
  <si>
    <t>Parma, Juventus</t>
  </si>
  <si>
    <t>Alessandro Del Piero</t>
  </si>
  <si>
    <t>SS/ST</t>
  </si>
  <si>
    <t>Juventus</t>
  </si>
  <si>
    <t>Michel Platini</t>
  </si>
  <si>
    <t>Inter, AC Milan</t>
  </si>
  <si>
    <t>Marco van Basten</t>
  </si>
  <si>
    <t>Franco Baresi</t>
  </si>
  <si>
    <t>Giuseppe Meazza</t>
  </si>
  <si>
    <t>Inter, AC Milan, Juventus</t>
  </si>
  <si>
    <t>Silvio Piola</t>
  </si>
  <si>
    <t>Pro Vercelli, Lazio, Torino, Juventus, Novara</t>
  </si>
  <si>
    <t>Gunnar Nordahl</t>
  </si>
  <si>
    <t>AC Milan, Roma</t>
  </si>
  <si>
    <t>Gianni Rivera</t>
  </si>
  <si>
    <t>AC Milan, Alessandria</t>
  </si>
  <si>
    <t>Andrea Pirlo</t>
  </si>
  <si>
    <t>Brescia, Inter, Reggina, AC Milan, Juventus</t>
  </si>
  <si>
    <t>Gabriel Batistuta</t>
  </si>
  <si>
    <t>Fiorentina, Roma, Inter</t>
  </si>
  <si>
    <t>Kaka</t>
  </si>
  <si>
    <t>Ruud Gullit</t>
  </si>
  <si>
    <t>AC Milan, Sampdoria</t>
  </si>
  <si>
    <t>Lothar Matthaus</t>
  </si>
  <si>
    <t>Inter</t>
  </si>
  <si>
    <t>Javier Zanetti</t>
  </si>
  <si>
    <t>RB/DM</t>
  </si>
  <si>
    <t>Alessandro Nesta</t>
  </si>
  <si>
    <t>Lazio, AC Milan</t>
  </si>
  <si>
    <t>Napoli, Parma, Inter, Juventus</t>
  </si>
  <si>
    <t>Paolo Rossi</t>
  </si>
  <si>
    <t>Vicenza, Perugia, Juventus, AC Milan, Verona</t>
  </si>
  <si>
    <t>Gigi Riva</t>
  </si>
  <si>
    <t>Cagliari</t>
  </si>
  <si>
    <t>Roberto Mancini</t>
  </si>
  <si>
    <t>Bologna, Sampdoria, Lazio</t>
  </si>
  <si>
    <t>Christian Vieri</t>
  </si>
  <si>
    <t>Torino, Atalanta, Juventus, Lazio, Inter, AC Milan, Fiorentina</t>
  </si>
  <si>
    <t>Zlatan Ibrahimovic</t>
  </si>
  <si>
    <t>Juventus, Inter, AC Milan</t>
  </si>
  <si>
    <t>Andriy Shevchenko</t>
  </si>
  <si>
    <t>Sampdoria, Inter, AC Milan</t>
  </si>
  <si>
    <t>Roma, AC Milan</t>
  </si>
  <si>
    <t>Pavel Nedved</t>
  </si>
  <si>
    <t>Lazio, Juventus</t>
  </si>
  <si>
    <t>Gianfranco Zola</t>
  </si>
  <si>
    <t>Napoli, Parma, Cagliari</t>
  </si>
  <si>
    <t>Dino Zoff</t>
  </si>
  <si>
    <t>Udinese, Mantova, Napoli, Juventus</t>
  </si>
  <si>
    <t>Gaetano Scirea</t>
  </si>
  <si>
    <t>CB/Sweeper</t>
  </si>
  <si>
    <t>Atalanta, Juventus</t>
  </si>
  <si>
    <t>Sandro Mazzola</t>
  </si>
  <si>
    <t>Giampiero Boniperti</t>
  </si>
  <si>
    <t>Alessandro Altobelli</t>
  </si>
  <si>
    <t>Brescia, Inter, Juventus</t>
  </si>
  <si>
    <t>Giacinto Facchetti</t>
  </si>
  <si>
    <t>Giuseppe Bergomi</t>
  </si>
  <si>
    <t>Tarcisio Burgnich</t>
  </si>
  <si>
    <t>Udinese, Juventus, Palermo, Inter, Napoli</t>
  </si>
  <si>
    <t>Claudio Gentile</t>
  </si>
  <si>
    <t>Varese, Juventus, Fiorentina</t>
  </si>
  <si>
    <t>Antonio Cabrini</t>
  </si>
  <si>
    <t>Juventus, Bologna</t>
  </si>
  <si>
    <t>Marco Tardelli</t>
  </si>
  <si>
    <t>Como, Juventus, Inter</t>
  </si>
  <si>
    <t>Roberto Donadoni</t>
  </si>
  <si>
    <t>RW/LM</t>
  </si>
  <si>
    <t>Atalanta, AC Milan</t>
  </si>
  <si>
    <t>Demetrio Albertini</t>
  </si>
  <si>
    <t>AC Milan, Lazio, Atalanta</t>
  </si>
  <si>
    <t>Filippo Inzaghi</t>
  </si>
  <si>
    <t>Parma, Atalanta, Juventus, AC Milan</t>
  </si>
  <si>
    <t>Ciro Immobile</t>
  </si>
  <si>
    <t>Torino, Genoa, Lazio</t>
  </si>
  <si>
    <t>Antonio Di Natale</t>
  </si>
  <si>
    <t>Empoli, Udinese</t>
  </si>
  <si>
    <t>Hernan Crespo</t>
  </si>
  <si>
    <t>Parma, Lazio, Inter, AC Milan, Genoa</t>
  </si>
  <si>
    <t>Edinson Cavani</t>
  </si>
  <si>
    <t>Palermo, Napoli</t>
  </si>
  <si>
    <t>Gonzalo Higuain</t>
  </si>
  <si>
    <t>Napoli, Juventus, AC Milan</t>
  </si>
  <si>
    <t>Lautaro Martinez</t>
  </si>
  <si>
    <t>Mauro Icardi</t>
  </si>
  <si>
    <t>Sampdoria, Inter</t>
  </si>
  <si>
    <t>Paulo Dybala</t>
  </si>
  <si>
    <t>Palermo, Juventus, Roma</t>
  </si>
  <si>
    <t>Lorenzo Insigne</t>
  </si>
  <si>
    <t>Dries Mertens</t>
  </si>
  <si>
    <t>Marek Hamsik</t>
  </si>
  <si>
    <t>Brescia, Napoli</t>
  </si>
  <si>
    <t>Fabio Quagliarella</t>
  </si>
  <si>
    <t>Torino, Udinese, Napoli, Juventus, Sampdoria</t>
  </si>
  <si>
    <t>Alberto Gilardino</t>
  </si>
  <si>
    <t>Piacenza, Verona, Parma, AC Milan, Fiorentina, Genoa, Bologna, Palermo</t>
  </si>
  <si>
    <t>Luca Toni</t>
  </si>
  <si>
    <t>Brescia, Palermo, Fiorentina, Roma, Genoa, Juventus, Verona</t>
  </si>
  <si>
    <t>Vincenzo Montella</t>
  </si>
  <si>
    <t>Sampdoria, Roma</t>
  </si>
  <si>
    <t>Giuseppe Signori</t>
  </si>
  <si>
    <t>Foggia, Lazio, Sampdoria, Bologna</t>
  </si>
  <si>
    <t>Sinisa Mihajlovic</t>
  </si>
  <si>
    <t>CB/LB</t>
  </si>
  <si>
    <t>Roma, Sampdoria, Lazio, Inter</t>
  </si>
  <si>
    <t>Dejan Stankovic</t>
  </si>
  <si>
    <t>Lazio, Inter</t>
  </si>
  <si>
    <t>Juan Sebastian Veron</t>
  </si>
  <si>
    <t>Sampdoria, Parma, Lazio, Inter</t>
  </si>
  <si>
    <t>Edgar Davids</t>
  </si>
  <si>
    <t>AC Milan, Juventus, Inter</t>
  </si>
  <si>
    <t>Marcel Desailly</t>
  </si>
  <si>
    <t>Frank Rijkaard</t>
  </si>
  <si>
    <t>DM/CB</t>
  </si>
  <si>
    <t>George Weah</t>
  </si>
  <si>
    <t>Maicon</t>
  </si>
  <si>
    <t>Inter, Roma</t>
  </si>
  <si>
    <t>Walter Samuel</t>
  </si>
  <si>
    <t>Roma, Inter</t>
  </si>
  <si>
    <t>Lucio</t>
  </si>
  <si>
    <t>Inter, Juventus</t>
  </si>
  <si>
    <t>Inter, Sampdoria</t>
  </si>
  <si>
    <t>Wesley Sneijder</t>
  </si>
  <si>
    <t>Diego Milito</t>
  </si>
  <si>
    <t>Genoa, Inter</t>
  </si>
  <si>
    <t>Esteban Cambiasso</t>
  </si>
  <si>
    <t>Julio Cesar</t>
  </si>
  <si>
    <t>Samir Handanovic</t>
  </si>
  <si>
    <t>Udinese, Inter</t>
  </si>
  <si>
    <t>Giorgio Chiellini</t>
  </si>
  <si>
    <t>Fiorentina, Juventus</t>
  </si>
  <si>
    <t>Leonardo Bonucci</t>
  </si>
  <si>
    <t>Inter, Bari, Juventus, AC Milan</t>
  </si>
  <si>
    <t>Andrea Barzagli</t>
  </si>
  <si>
    <t>Chievo, Palermo, Juventus</t>
  </si>
  <si>
    <t>Paul Pogba</t>
  </si>
  <si>
    <t>Arturo Vidal</t>
  </si>
  <si>
    <t>Juventus, Inter</t>
  </si>
  <si>
    <t>Claudio Marchisio</t>
  </si>
  <si>
    <t>Carlos Tevez</t>
  </si>
  <si>
    <t>Federico Chiesa</t>
  </si>
  <si>
    <t>Dusan Vlahovic</t>
  </si>
  <si>
    <t>Khvicha Kvaratskhelia</t>
  </si>
  <si>
    <t>Victor Osimhen</t>
  </si>
  <si>
    <t>Kim Min-jae</t>
  </si>
  <si>
    <t>Kalidou Koulibaly</t>
  </si>
  <si>
    <t>Jorginho</t>
  </si>
  <si>
    <t>Verona, Napoli</t>
  </si>
  <si>
    <t>Thiago Silva</t>
  </si>
  <si>
    <t>Zvonimir Boban</t>
  </si>
  <si>
    <t>Dejan Savicevic</t>
  </si>
  <si>
    <t>Jean-Pierre Papin</t>
  </si>
  <si>
    <t>Oliver Bierhoff</t>
  </si>
  <si>
    <t>Ascoli, Udinese, AC Milan, Chievo</t>
  </si>
  <si>
    <t>Daniele De Rossi</t>
  </si>
  <si>
    <t>Bruno Conti</t>
  </si>
  <si>
    <t>Aldair</t>
  </si>
  <si>
    <t>Rui Costa</t>
  </si>
  <si>
    <t>Fiorentina, AC Milan</t>
  </si>
  <si>
    <t>Juan Cuadrado</t>
  </si>
  <si>
    <t>Udinese, Lecce, Fiorentina, Juventus, Inter, Atalanta</t>
  </si>
  <si>
    <t>Alex Sandro</t>
  </si>
  <si>
    <t>Stephan Lichtsteiner</t>
  </si>
  <si>
    <t>Miralem Pjanic</t>
  </si>
  <si>
    <t>Roma, Juventus</t>
  </si>
  <si>
    <t>Mehdi Benatia</t>
  </si>
  <si>
    <t>Udinese, Roma, Juventus</t>
  </si>
  <si>
    <t>Paulo Sousa</t>
  </si>
  <si>
    <t>Juventus, Inter, Parma</t>
  </si>
  <si>
    <t>Angelo Peruzzi</t>
  </si>
  <si>
    <t>Roma, Juventus, Inter, Lazio</t>
  </si>
  <si>
    <t>Gianluca Vialli</t>
  </si>
  <si>
    <t>Cremonese, Sampdoria, Juventus</t>
  </si>
  <si>
    <t>Attilio Lombardo</t>
  </si>
  <si>
    <t>RM/RW</t>
  </si>
  <si>
    <t>Cremonese, Sampdoria, Juventus, Lazio</t>
  </si>
  <si>
    <t>Pietro Vierchowod</t>
  </si>
  <si>
    <t>Como, Fiorentina, Roma, Sampdoria, Juventus, AC Milan, Piacenza</t>
  </si>
  <si>
    <t>Ciro Ferrara</t>
  </si>
  <si>
    <t>Napoli, Juventus</t>
  </si>
  <si>
    <t>Fabio Capello</t>
  </si>
  <si>
    <t>Roma, Juventus, AC Milan</t>
  </si>
  <si>
    <t>Jose Altafini</t>
  </si>
  <si>
    <t>AC Milan, Napoli, Juventus</t>
  </si>
  <si>
    <t>Karl-Heinz Rummenigge</t>
  </si>
  <si>
    <t>Nils Liedholm</t>
  </si>
  <si>
    <t>Gunnar Gren</t>
  </si>
  <si>
    <t>AC Milan, Fiorentina, Genoa</t>
  </si>
  <si>
    <t>Alessandro Costacurta</t>
  </si>
  <si>
    <t>Mauro Tassotti</t>
  </si>
  <si>
    <t>Dida</t>
  </si>
  <si>
    <t>Sebastiano Rossi</t>
  </si>
  <si>
    <t>Cesena, AC Milan, Perugia</t>
  </si>
  <si>
    <t>Filippo Galli</t>
  </si>
  <si>
    <t>Massimo Ambrosini</t>
  </si>
  <si>
    <t>Cesena, AC Milan, Fiorentina</t>
  </si>
  <si>
    <t>Gennaro Gattuso</t>
  </si>
  <si>
    <t>Salernitana, AC Milan</t>
  </si>
  <si>
    <t>Serginho</t>
  </si>
  <si>
    <t>Leonardo</t>
  </si>
  <si>
    <t>Alexandre Pato</t>
  </si>
  <si>
    <t>Robinho</t>
  </si>
  <si>
    <t>Sergej Milinkovic-Savic</t>
  </si>
  <si>
    <t>Lazio</t>
  </si>
  <si>
    <t>Luis Alberto</t>
  </si>
  <si>
    <t>Miroslav Klose</t>
  </si>
  <si>
    <t>Marcelo Salas</t>
  </si>
  <si>
    <t>Giuseppe Favalli</t>
  </si>
  <si>
    <t>Cremonese, Lazio, Inter, AC Milan</t>
  </si>
  <si>
    <t>Hernanes</t>
  </si>
  <si>
    <t>Lazio, Inter, Juventus</t>
  </si>
  <si>
    <t>Francesco Acerbi</t>
  </si>
  <si>
    <t>Chievo, AC Milan, Sassuolo, Lazio, Inter</t>
  </si>
  <si>
    <t>Ivan Perisic</t>
  </si>
  <si>
    <t>LW/LM</t>
  </si>
  <si>
    <t>Romelu Lukaku</t>
  </si>
  <si>
    <t>Inter, Roma, Napoli</t>
  </si>
  <si>
    <t>Nicolo Barella</t>
  </si>
  <si>
    <t>Cagliari, Inter</t>
  </si>
  <si>
    <t>Marcelo Brozovic</t>
  </si>
  <si>
    <t>Alessandro Bastoni</t>
  </si>
  <si>
    <t>Atalanta, Parma, Inter</t>
  </si>
  <si>
    <t>Hakan Calhanoglu</t>
  </si>
  <si>
    <t>AC Milan, Inter</t>
  </si>
  <si>
    <t>Edin Dzeko</t>
  </si>
  <si>
    <t>Lorenzo Pellegrini</t>
  </si>
  <si>
    <t>Roma, Sassuolo</t>
  </si>
  <si>
    <t>Radja Nainggolan</t>
  </si>
  <si>
    <t>Piacenza, Cagliari, Roma, Inter</t>
  </si>
  <si>
    <t>Mohamed Salah</t>
  </si>
  <si>
    <t>Fiorentina, Roma</t>
  </si>
  <si>
    <t>Alisson Becker</t>
  </si>
  <si>
    <t>Marquinhos</t>
  </si>
  <si>
    <t>Walter Zenga</t>
  </si>
  <si>
    <t>Inter, Sampdoria, Padova</t>
  </si>
  <si>
    <t>Giuseppe Giannini</t>
  </si>
  <si>
    <t>Roma, Napoli, Lecce</t>
  </si>
  <si>
    <t>Rudi Voller</t>
  </si>
  <si>
    <t>Antonio Cassano</t>
  </si>
  <si>
    <t>Bari, Roma, Sampdoria, AC Milan, Inter, Parma</t>
  </si>
  <si>
    <t>Francesco Antonioli</t>
  </si>
  <si>
    <t>AC Milan, Roma, Sampdoria, Bologna, Cesena</t>
  </si>
  <si>
    <t>Fabio Liverani</t>
  </si>
  <si>
    <t>Perugia, Lazio, Fiorentina, Palermo</t>
  </si>
  <si>
    <t>Roberto Pruzzo</t>
  </si>
  <si>
    <t>Genoa, Roma, Fiorentina</t>
  </si>
  <si>
    <t>Dino Baggio</t>
  </si>
  <si>
    <t>Torino, Inter, Juventus, Parma, Lazio</t>
  </si>
  <si>
    <t>Enrico Chiesa</t>
  </si>
  <si>
    <t>Sampdoria, Parma, Fiorentina, Lazio, Siena</t>
  </si>
  <si>
    <t>Valentino Mazzola</t>
  </si>
  <si>
    <t>Venezia, Torino</t>
  </si>
  <si>
    <t>Ezio Loik</t>
  </si>
  <si>
    <t>Guglielmo Gabetto</t>
  </si>
  <si>
    <t>Juventus, Torino</t>
  </si>
  <si>
    <t>Amedeo Amadei</t>
  </si>
  <si>
    <t>Roma, Inter, Napoli</t>
  </si>
  <si>
    <t>Kurt Hamrin</t>
  </si>
  <si>
    <t>Juventus, Padova, Fiorentina, AC Milan, Napoli</t>
  </si>
  <si>
    <t>Giancarlo Antognoni</t>
  </si>
  <si>
    <t>Fiorentina</t>
  </si>
  <si>
    <t>Giuseppe Savoldi</t>
  </si>
  <si>
    <t>Atalanta, Bologna, Napoli</t>
  </si>
  <si>
    <t>Roberto Boninsegna</t>
  </si>
  <si>
    <t>Cagliari, Inter, Juventus</t>
  </si>
  <si>
    <t>Luigi Riva</t>
  </si>
  <si>
    <t>Sandro Tonali</t>
  </si>
  <si>
    <t>Brescia, AC Milan</t>
  </si>
  <si>
    <t>Rafael Leao</t>
  </si>
  <si>
    <t>Theo Hernandez</t>
  </si>
  <si>
    <t>Mike Maignan</t>
  </si>
  <si>
    <t>Federico Dimarco</t>
  </si>
  <si>
    <t>LB/LWB</t>
  </si>
  <si>
    <t>Inter, Parma, Verona</t>
  </si>
  <si>
    <t>Gleison Bremer</t>
  </si>
  <si>
    <t>Torino, Juventus</t>
  </si>
  <si>
    <t>Gianluca Pagliuca</t>
  </si>
  <si>
    <t>Sampdoria, Inter, Bologna, Ascoli</t>
  </si>
  <si>
    <t>Marco Materazzi</t>
  </si>
  <si>
    <t>Perugia, Inter</t>
  </si>
  <si>
    <t>Christian Panucci</t>
  </si>
  <si>
    <t>RB/CB</t>
  </si>
  <si>
    <t>Genoa, AC Milan, Inter, Roma, Parma</t>
  </si>
  <si>
    <t>Bari, Juventus, AC Milan</t>
  </si>
  <si>
    <t>Ezequiel Lavezzi</t>
  </si>
  <si>
    <t>Giuseppe Rossi</t>
  </si>
  <si>
    <t>Parma, Fiorentina, Genoa</t>
  </si>
  <si>
    <t>Marek Jankulovski</t>
  </si>
  <si>
    <t>Napoli, Udinese, AC Milan</t>
  </si>
  <si>
    <t>David Pizarro</t>
  </si>
  <si>
    <t>Udinese, Inter, Roma, Fiorentina</t>
  </si>
  <si>
    <t>Rodrigo Palacio</t>
  </si>
  <si>
    <t>Genoa, Inter, Bologna, Brescia</t>
  </si>
  <si>
    <t>Fabio Grosso</t>
  </si>
  <si>
    <t>Perugia, Palermo, Inter, Juventus</t>
  </si>
  <si>
    <t>Domenico Berardi</t>
  </si>
  <si>
    <t>Sassuolo</t>
  </si>
  <si>
    <t>Andrea Belotti</t>
  </si>
  <si>
    <t>Palermo, Torino, Roma, Como</t>
  </si>
  <si>
    <t>Francesco Caputo</t>
  </si>
  <si>
    <t>Bari, Empoli, Sassuolo, Sampdoria, Empoli</t>
  </si>
  <si>
    <t>Antonio Candreva</t>
  </si>
  <si>
    <t>Udinese, Livorno, Juventus, Parma, Lazio, Inter, Sampdoria, Salernitana</t>
  </si>
  <si>
    <t>Alessandro Florenzi</t>
  </si>
  <si>
    <t>Papu Gomez</t>
  </si>
  <si>
    <t>Catania, Atalanta</t>
  </si>
  <si>
    <t>Josip Ilicic</t>
  </si>
  <si>
    <t>Palermo, Fiorentina, Atalanta</t>
  </si>
  <si>
    <t>Henrikh Mkhitaryan</t>
  </si>
  <si>
    <t>Rafael Toloi</t>
  </si>
  <si>
    <t>Roma, Atalanta</t>
  </si>
  <si>
    <t>Mauro Camoranesi</t>
  </si>
  <si>
    <t>Verona, Juventus</t>
  </si>
  <si>
    <t>Antonio Conte</t>
  </si>
  <si>
    <t>Lecce, Juventus</t>
  </si>
  <si>
    <t>Angelo Di Livio</t>
  </si>
  <si>
    <t>Padova, Juventus, Fiorentina</t>
  </si>
  <si>
    <t>Pierluigi Casiraghi</t>
  </si>
  <si>
    <t>Monza, Juventus, Lazio</t>
  </si>
  <si>
    <t>Fabrizio Ravanelli</t>
  </si>
  <si>
    <t>Juventus, Lazio, Perugia</t>
  </si>
  <si>
    <t>Monaco, Paris Saint-Germain</t>
  </si>
  <si>
    <t>Ranked for Ligue 1 impact: prime level first, then league legacy/legend status, with longevity as a supporting factor.</t>
  </si>
  <si>
    <t>Nancy, Saint-Etienne</t>
  </si>
  <si>
    <t>Cannes, Bordeaux</t>
  </si>
  <si>
    <t>Marseille, Bordeaux</t>
  </si>
  <si>
    <t>Just Fontaine</t>
  </si>
  <si>
    <t>Nice, Reims</t>
  </si>
  <si>
    <t>Raymond Kopa</t>
  </si>
  <si>
    <t>AM/RW</t>
  </si>
  <si>
    <t>Angers, Reims</t>
  </si>
  <si>
    <t>Delio Onnis</t>
  </si>
  <si>
    <t>Reims, Monaco, Tours, Toulon</t>
  </si>
  <si>
    <t>Bernard Lacombe</t>
  </si>
  <si>
    <t>Lyon, Saint-Etienne, Bordeaux</t>
  </si>
  <si>
    <t>Alain Giresse</t>
  </si>
  <si>
    <t>Bordeaux, Marseille</t>
  </si>
  <si>
    <t>Juninho Pernambucano</t>
  </si>
  <si>
    <t>Lyon</t>
  </si>
  <si>
    <t>Paris Saint-Germain</t>
  </si>
  <si>
    <t>Monaco, Paris Saint-Germain, Marseille</t>
  </si>
  <si>
    <t>Pauleta</t>
  </si>
  <si>
    <t>Bordeaux, Paris Saint-Germain</t>
  </si>
  <si>
    <t>Carlos Bianchi</t>
  </si>
  <si>
    <t>Reims, Paris Saint-Germain, Strasbourg</t>
  </si>
  <si>
    <t>Josip Skoblar</t>
  </si>
  <si>
    <t>Marseille</t>
  </si>
  <si>
    <t>Roger Piantoni</t>
  </si>
  <si>
    <t>Nancy, Reims, Nice</t>
  </si>
  <si>
    <t>Herve Revelli</t>
  </si>
  <si>
    <t>Saint-Etienne, Nice</t>
  </si>
  <si>
    <t>Dominique Rocheteau</t>
  </si>
  <si>
    <t>Saint-Etienne, Paris Saint-Germain, Toulouse</t>
  </si>
  <si>
    <t>Didier Deschamps</t>
  </si>
  <si>
    <t>Nantes, Marseille, Bordeaux</t>
  </si>
  <si>
    <t>Laurent Blanc</t>
  </si>
  <si>
    <t>Montpellier, Nimes, Saint-Etienne, Auxerre, Marseille</t>
  </si>
  <si>
    <t>Lilian Thuram</t>
  </si>
  <si>
    <t>Monaco</t>
  </si>
  <si>
    <t>Nantes, Marseille</t>
  </si>
  <si>
    <t>Fabien Barthez</t>
  </si>
  <si>
    <t>Toulouse, Marseille, Monaco, Nantes</t>
  </si>
  <si>
    <t>Hugo Lloris</t>
  </si>
  <si>
    <t>Nice, Lyon</t>
  </si>
  <si>
    <t>Steve Mandanda</t>
  </si>
  <si>
    <t>Marseille, Rennes</t>
  </si>
  <si>
    <t>Safet Susic</t>
  </si>
  <si>
    <t>Mustapha Dahleb</t>
  </si>
  <si>
    <t>Sedan, Paris Saint-Germain, Nice</t>
  </si>
  <si>
    <t>Rai</t>
  </si>
  <si>
    <t>Marseille, Monaco, Lyon</t>
  </si>
  <si>
    <t>Alexandre Lacazette</t>
  </si>
  <si>
    <t>Wissam Ben Yedder</t>
  </si>
  <si>
    <t>Toulouse, Monaco</t>
  </si>
  <si>
    <t>David Trezeguet</t>
  </si>
  <si>
    <t>Youri Djorkaeff</t>
  </si>
  <si>
    <t>Strasbourg, Monaco, Paris Saint-Germain</t>
  </si>
  <si>
    <t>Djibril Cisse</t>
  </si>
  <si>
    <t>Auxerre, Marseille, Bastia</t>
  </si>
  <si>
    <t>Bafetimbi Gomis</t>
  </si>
  <si>
    <t>Saint-Etienne, Lyon, Marseille</t>
  </si>
  <si>
    <t>Andre-Pierre Gignac</t>
  </si>
  <si>
    <t>Lorient, Toulouse, Marseille</t>
  </si>
  <si>
    <t>Dimitri Payet</t>
  </si>
  <si>
    <t>Nantes, Saint-Etienne, Lille, Marseille</t>
  </si>
  <si>
    <t>Florian Thauvin</t>
  </si>
  <si>
    <t>Bastia, Lille, Marseille</t>
  </si>
  <si>
    <t>Franck Ribery</t>
  </si>
  <si>
    <t>Metz, Marseille</t>
  </si>
  <si>
    <t>Samir Nasri</t>
  </si>
  <si>
    <t>Hatem Ben Arfa</t>
  </si>
  <si>
    <t>Lyon, Marseille, Nice, Rennes, Bordeaux, Lille</t>
  </si>
  <si>
    <t>Ludovic Giuly</t>
  </si>
  <si>
    <t>Lyon, Monaco, Paris Saint-Germain, Lorient</t>
  </si>
  <si>
    <t>Robert Pires</t>
  </si>
  <si>
    <t>LM/AM</t>
  </si>
  <si>
    <t>Sylvain Wiltord</t>
  </si>
  <si>
    <t>Rennes, Bordeaux, Lyon, Marseille, Metz</t>
  </si>
  <si>
    <t>Nantes, Marseille, Paris Saint-Germain, Bastia</t>
  </si>
  <si>
    <t>Patrick Vieira</t>
  </si>
  <si>
    <t>Cannes</t>
  </si>
  <si>
    <t>Blaise Matuidi</t>
  </si>
  <si>
    <t>Troyes, Saint-Etienne, Paris Saint-Germain</t>
  </si>
  <si>
    <t>Marco Verratti</t>
  </si>
  <si>
    <t>Angel Di Maria</t>
  </si>
  <si>
    <t>Ousmane Dembele</t>
  </si>
  <si>
    <t>Rennes, Paris Saint-Germain</t>
  </si>
  <si>
    <t>Vitinha</t>
  </si>
  <si>
    <t>Bradley Barcola</t>
  </si>
  <si>
    <t>Lyon, Paris Saint-Germain</t>
  </si>
  <si>
    <t>Olivier Giroud</t>
  </si>
  <si>
    <t>Grenoble, Istres, Tours, Montpellier</t>
  </si>
  <si>
    <t>Lille</t>
  </si>
  <si>
    <t>Gervinho</t>
  </si>
  <si>
    <t>Le Mans, Lille</t>
  </si>
  <si>
    <t>Pierre-Emerick Aubameyang</t>
  </si>
  <si>
    <t>Dijon, Lille, Monaco, Saint-Etienne, Marseille</t>
  </si>
  <si>
    <t>James Rodriguez</t>
  </si>
  <si>
    <t>Bernardo Silva</t>
  </si>
  <si>
    <t>Fabinho</t>
  </si>
  <si>
    <t>DM/RB</t>
  </si>
  <si>
    <t>Joao Moutinho</t>
  </si>
  <si>
    <t>Riyad Mahrez</t>
  </si>
  <si>
    <t>Le Havre</t>
  </si>
  <si>
    <t>Nabil Fekir</t>
  </si>
  <si>
    <t>Memphis Depay</t>
  </si>
  <si>
    <t>Lisandro Lopez</t>
  </si>
  <si>
    <t>Mamadou Niang</t>
  </si>
  <si>
    <t>Strasbourg, Marseille</t>
  </si>
  <si>
    <t>Moussa Sow</t>
  </si>
  <si>
    <t>Rennes, Lille</t>
  </si>
  <si>
    <t>Yoann Gourcuff</t>
  </si>
  <si>
    <t>Rennes, Bordeaux, Lyon, Dijon</t>
  </si>
  <si>
    <t>Mickael Landreau</t>
  </si>
  <si>
    <t>Nantes, Paris Saint-Germain, Lille, Bastia</t>
  </si>
  <si>
    <t>Gregory Coupet</t>
  </si>
  <si>
    <t>Saint-Etienne, Lyon, Paris Saint-Germain</t>
  </si>
  <si>
    <t>Joel Bats</t>
  </si>
  <si>
    <t>Sochaux, Auxerre, Paris Saint-Germain</t>
  </si>
  <si>
    <t>Bernard Lama</t>
  </si>
  <si>
    <t>Lille, Metz, Brest, Lens, Paris Saint-Germain, Rennes</t>
  </si>
  <si>
    <t>Jean Tigana</t>
  </si>
  <si>
    <t>Toulon, Lyon, Bordeaux, Marseille</t>
  </si>
  <si>
    <t>Marius Tresor</t>
  </si>
  <si>
    <t>Ajaccio, Marseille, Bordeaux</t>
  </si>
  <si>
    <t>Maxime Bossis</t>
  </si>
  <si>
    <t>Nantes, Matra Racing</t>
  </si>
  <si>
    <t>Dominique Bathenay</t>
  </si>
  <si>
    <t>Saint-Etienne, Paris Saint-Germain, Sete</t>
  </si>
  <si>
    <t>Luis Fernandez</t>
  </si>
  <si>
    <t>Paris Saint-Germain, Matra Racing, Cannes</t>
  </si>
  <si>
    <t>Jean-Marc Guillou</t>
  </si>
  <si>
    <t>Angers, Nice, Neuchatel Xamax</t>
  </si>
  <si>
    <t>Jean-Michel Larque</t>
  </si>
  <si>
    <t>Saint-Etienne, Paris Saint-Germain</t>
  </si>
  <si>
    <t>Robert Herbin</t>
  </si>
  <si>
    <t>Saint-Etienne</t>
  </si>
  <si>
    <t>Salif Keita</t>
  </si>
  <si>
    <t>Saint-Etienne, Marseille</t>
  </si>
  <si>
    <t>Rachid Mekhloufi</t>
  </si>
  <si>
    <t>Saint-Etienne, Bastia</t>
  </si>
  <si>
    <t>Fleury Di Nallo</t>
  </si>
  <si>
    <t>Lyon, Red Star</t>
  </si>
  <si>
    <t>Roger Courtois</t>
  </si>
  <si>
    <t>Sochaux, Troyes</t>
  </si>
  <si>
    <t>Thadee Cisowski</t>
  </si>
  <si>
    <t>Metz, Racing Paris, Valenciennes</t>
  </si>
  <si>
    <t>Joseph Ujlaki</t>
  </si>
  <si>
    <t>Stade Francais, Sete, Nimes, Nice, Racing Paris</t>
  </si>
  <si>
    <t>Gunnar Andersson</t>
  </si>
  <si>
    <t>Hassan Akesbi</t>
  </si>
  <si>
    <t>Nimes, Reims, Monaco</t>
  </si>
  <si>
    <t>Jean Baratte</t>
  </si>
  <si>
    <t>Lille, Roubaix</t>
  </si>
  <si>
    <t>Andre Guy</t>
  </si>
  <si>
    <t>Sochaux, Saint-Etienne, Lille, Lyon, Rennes</t>
  </si>
  <si>
    <t>Jacky Vergnes</t>
  </si>
  <si>
    <t>Red Star, Nimes, Bastia, Reims, Laval, Strasbourg, Bordeaux, Montpellier</t>
  </si>
  <si>
    <t>Lucien Cossou</t>
  </si>
  <si>
    <t>Lyon, Monaco, Aix</t>
  </si>
  <si>
    <t>Stephane Bruey</t>
  </si>
  <si>
    <t>Monaco, Angers, Racing Paris, Rouen, Grenoble</t>
  </si>
  <si>
    <t>Michel Hidalgo</t>
  </si>
  <si>
    <t>Le Havre, Reims, Monaco</t>
  </si>
  <si>
    <t>Dragan Dzajic</t>
  </si>
  <si>
    <t>Bastia</t>
  </si>
  <si>
    <t>Vahid Halilhodzic</t>
  </si>
  <si>
    <t>Nantes, Paris Saint-Germain</t>
  </si>
  <si>
    <t>Francois M'Pele</t>
  </si>
  <si>
    <t>Ajaccio, Paris Saint-Germain, Lens, Rennes</t>
  </si>
  <si>
    <t>Gerard Soler</t>
  </si>
  <si>
    <t>Sochaux, Monaco, Bordeaux, Toulouse, Strasbourg, Nice, Lille, Montpellier</t>
  </si>
  <si>
    <t>Lilian Laslandes</t>
  </si>
  <si>
    <t>Auxerre, Bordeaux, Nice, Saint-Etienne, Bastia, Strasbourg</t>
  </si>
  <si>
    <t>Bernard Genghini</t>
  </si>
  <si>
    <t>Sochaux, Saint-Etienne, Monaco, Marseille, Bordeaux</t>
  </si>
  <si>
    <t>Eric Pecout</t>
  </si>
  <si>
    <t>Nantes, Monaco, Strasbourg, Caen, Tours</t>
  </si>
  <si>
    <t>Claude Papi</t>
  </si>
  <si>
    <t>Daniel Xuereb</t>
  </si>
  <si>
    <t>Lens, Paris Saint-Germain, Montpellier, Marseille, Toulon</t>
  </si>
  <si>
    <t>Alain Caveglia</t>
  </si>
  <si>
    <t>Sochaux, Le Havre, Lyon, Nantes</t>
  </si>
  <si>
    <t>Marc Berdoll</t>
  </si>
  <si>
    <t>Angers, Marseille, Saarbrucken</t>
  </si>
  <si>
    <t>Kevin Gameiro</t>
  </si>
  <si>
    <t>Strasbourg, Lorient, Paris Saint-Germain</t>
  </si>
  <si>
    <t>Philippe Gondet</t>
  </si>
  <si>
    <t>Nantes, Red Star</t>
  </si>
  <si>
    <t>Patrice Loko</t>
  </si>
  <si>
    <t>Nantes, Paris Saint-Germain, Lyon, Troyes, Lorient, Ajaccio</t>
  </si>
  <si>
    <t>Shabani Nonda</t>
  </si>
  <si>
    <t>Rennes, Monaco</t>
  </si>
  <si>
    <t>Nenad Bjekovic</t>
  </si>
  <si>
    <t>Nice</t>
  </si>
  <si>
    <t>Jean-Pierre Adams</t>
  </si>
  <si>
    <t>Nimes, Nice, Paris Saint-Germain</t>
  </si>
  <si>
    <t>Carlos Mozer</t>
  </si>
  <si>
    <t>Basile Boli</t>
  </si>
  <si>
    <t>Auxerre, Marseille, Monaco</t>
  </si>
  <si>
    <t>Chris Waddle</t>
  </si>
  <si>
    <t>Abedi Pele</t>
  </si>
  <si>
    <t>Lille, Marseille, Lyon</t>
  </si>
  <si>
    <t>Didier Drogba</t>
  </si>
  <si>
    <t>Le Mans, Guingamp, Marseille</t>
  </si>
  <si>
    <t>Mathieu Valbuena</t>
  </si>
  <si>
    <t>Marseille, Lyon</t>
  </si>
  <si>
    <t>Florian Maurice</t>
  </si>
  <si>
    <t>Lyon, Paris Saint-Germain, Marseille, Bastia</t>
  </si>
  <si>
    <t>Ederson</t>
  </si>
  <si>
    <t>Michael Essien</t>
  </si>
  <si>
    <t>Bastia, Lyon</t>
  </si>
  <si>
    <t>Mahamadou Diarra</t>
  </si>
  <si>
    <t>Lyon, Monaco</t>
  </si>
  <si>
    <t>Cris</t>
  </si>
  <si>
    <t>Eric Abidal</t>
  </si>
  <si>
    <t>Monaco, Lille, Lyon</t>
  </si>
  <si>
    <t>Florent Malouda</t>
  </si>
  <si>
    <t>LM/LW</t>
  </si>
  <si>
    <t>Guingamp, Lyon, Metz</t>
  </si>
  <si>
    <t>Sidney Govou</t>
  </si>
  <si>
    <t>Lyon, Evian</t>
  </si>
  <si>
    <t>Kim Kallstrom</t>
  </si>
  <si>
    <t>Rennes, Lyon</t>
  </si>
  <si>
    <t>Marco Simone</t>
  </si>
  <si>
    <t>Paris Saint-Germain, Monaco, Nice</t>
  </si>
  <si>
    <t>Patrice Evra</t>
  </si>
  <si>
    <t>Nice, Monaco, Marseille</t>
  </si>
  <si>
    <t>Claude Puel</t>
  </si>
  <si>
    <t>Jules Kounde</t>
  </si>
  <si>
    <t>Bordeaux</t>
  </si>
  <si>
    <t>Aurelien Tchouameni</t>
  </si>
  <si>
    <t>Bordeaux, Monaco</t>
  </si>
  <si>
    <t>Eduardo Camavinga</t>
  </si>
  <si>
    <t>Rennes</t>
  </si>
  <si>
    <t>William Saliba</t>
  </si>
  <si>
    <t>Saint-Etienne, Nice, Marseille</t>
  </si>
  <si>
    <t>Benjamin Pavard</t>
  </si>
  <si>
    <t>Dayot Upamecano</t>
  </si>
  <si>
    <t>Valenciennes</t>
  </si>
  <si>
    <t>Jonathan David</t>
  </si>
  <si>
    <t>Renato Sanches</t>
  </si>
  <si>
    <t>Lille, Paris Saint-Germain</t>
  </si>
  <si>
    <t>Wahbi Khazri</t>
  </si>
  <si>
    <t>Bastia, Bordeaux, Rennes, Saint-Etienne, Montpellier</t>
  </si>
  <si>
    <t>Ryad Boudebouz</t>
  </si>
  <si>
    <t>Sochaux, Bastia, Montpellier, Saint-Etienne</t>
  </si>
  <si>
    <t>Andy Delort</t>
  </si>
  <si>
    <t>Ajaccio, Caen, Toulouse, Montpellier, Nice, Nantes</t>
  </si>
  <si>
    <t>Gaetan Laborde</t>
  </si>
  <si>
    <t>Bordeaux, Montpellier, Rennes, Nice</t>
  </si>
  <si>
    <t>Benjamin Andre</t>
  </si>
  <si>
    <t>Ajaccio, Rennes, Lille</t>
  </si>
  <si>
    <t>Seko Fofana</t>
  </si>
  <si>
    <t>Bastia, Lens, Rennes</t>
  </si>
  <si>
    <t>Lois Openda</t>
  </si>
  <si>
    <t>Lens</t>
  </si>
  <si>
    <t>Kevin Danso</t>
  </si>
  <si>
    <t>Brice Samba</t>
  </si>
  <si>
    <t>Marseille, Caen, Lens, Rennes</t>
  </si>
  <si>
    <t>Elye Wahi</t>
  </si>
  <si>
    <t>Montpellier, Lens, Marseille</t>
  </si>
  <si>
    <t>Remy Cabella</t>
  </si>
  <si>
    <t>Montpellier, Marseille, Saint-Etienne, Lille</t>
  </si>
  <si>
    <t>Yohan Cabaye</t>
  </si>
  <si>
    <t>Lille, Paris Saint-Germain, Saint-Etienne</t>
  </si>
  <si>
    <t>Mathieu Bodmer</t>
  </si>
  <si>
    <t>Caen, Lille, Lyon, Paris Saint-Germain, Nice, Guingamp, Amiens</t>
  </si>
  <si>
    <t>Rio Mavuba</t>
  </si>
  <si>
    <t>Bordeaux, Lille</t>
  </si>
  <si>
    <t>Adil Rami</t>
  </si>
  <si>
    <t>Lille, Marseille, Troyes</t>
  </si>
  <si>
    <t>Mapou Yanga-Mbiwa</t>
  </si>
  <si>
    <t>Montpellier, Lyon</t>
  </si>
  <si>
    <t>Mamadou Sakho</t>
  </si>
  <si>
    <t>Paris Saint-Germain, Montpellier</t>
  </si>
  <si>
    <t>Andre Ayew</t>
  </si>
  <si>
    <t>Marseille, Lorient, Le Havre</t>
  </si>
  <si>
    <t>Loic Remy</t>
  </si>
  <si>
    <t>Lens, Nice, Marseille, Lille, Brest</t>
  </si>
  <si>
    <t>Marouane Chamakh</t>
  </si>
  <si>
    <t>Fernando Cavenaghi</t>
  </si>
  <si>
    <t>Johan Micoud</t>
  </si>
  <si>
    <t>Ricardo Carvalho</t>
  </si>
  <si>
    <t>Thiago Motta</t>
  </si>
  <si>
    <t>Zoumana Camara</t>
  </si>
  <si>
    <t>Saint-Etienne, Lens, Marseille, Paris Saint-Germain</t>
  </si>
  <si>
    <t>Javier Pastore</t>
  </si>
  <si>
    <t>Lucas Moura</t>
  </si>
  <si>
    <t>Achraf Hakimi</t>
  </si>
  <si>
    <t>Nuno Mendes</t>
  </si>
  <si>
    <t>Presnel Kimpembe</t>
  </si>
  <si>
    <t>Nicolas Pepe</t>
  </si>
  <si>
    <t>Angers, Lille, Nice</t>
  </si>
  <si>
    <t>Victor Ikpeba</t>
  </si>
  <si>
    <t>Ludovic Obraniak</t>
  </si>
  <si>
    <t>Metz, Lille, Bordeaux</t>
  </si>
  <si>
    <t>Jerome Rothen</t>
  </si>
  <si>
    <t>LM</t>
  </si>
  <si>
    <t>Caen, Troyes, Monaco, Paris Saint-Germain, Bastia</t>
  </si>
  <si>
    <t>Eric Carriere</t>
  </si>
  <si>
    <t>Nantes, Lyon, Lens, Dijon</t>
  </si>
  <si>
    <t>Alou Diarra</t>
  </si>
  <si>
    <t>Lens, Lyon, Bordeaux, Marseille, Rennes</t>
  </si>
  <si>
    <t>Jeremie Toulalan</t>
  </si>
  <si>
    <t>Nantes, Lyon, Monaco, Bordeaux</t>
  </si>
  <si>
    <t>Taye Taiwo</t>
  </si>
  <si>
    <t>Benoit Cheyrou</t>
  </si>
  <si>
    <t>Lille, Auxerre, Marseille</t>
  </si>
  <si>
    <t>Jean Fernandez</t>
  </si>
  <si>
    <t>Beziers, Marseille, Bordeaux</t>
  </si>
  <si>
    <t>Loic Perrin</t>
  </si>
  <si>
    <t>Brandao</t>
  </si>
  <si>
    <t>Marseille, Saint-Etienne, Bastia</t>
  </si>
  <si>
    <t>Benoit Pedretti</t>
  </si>
  <si>
    <t>Sochaux, Marseille, Lyon, Auxerre, Lille, Ajaccio, Nancy</t>
  </si>
  <si>
    <t>Etienne Capoue</t>
  </si>
  <si>
    <t>Toulouse</t>
  </si>
  <si>
    <t>Wendel</t>
  </si>
  <si>
    <t>Nene</t>
  </si>
  <si>
    <t>Guillaume Hoarau</t>
  </si>
  <si>
    <t>Le Havre, Paris Saint-Germain, Bordeaux</t>
  </si>
  <si>
    <t>Peguy Luyindula</t>
  </si>
  <si>
    <t>Strasbourg, Lyon, Marseille, Auxerre, Paris Saint-Germain</t>
  </si>
  <si>
    <t>Lucho Gonzalez</t>
  </si>
  <si>
    <t>Pape Diouf</t>
  </si>
  <si>
    <t>Antoine Kombouare</t>
  </si>
  <si>
    <t>Christian Karembeu</t>
  </si>
  <si>
    <t>Nantes</t>
  </si>
  <si>
    <t>Mickael Pagis</t>
  </si>
  <si>
    <t>Laval, Strasbourg, Marseille, Rennes</t>
  </si>
  <si>
    <t>Methodology / changes made</t>
  </si>
  <si>
    <t>Category</t>
  </si>
  <si>
    <t>Description</t>
  </si>
  <si>
    <t>Refinement</t>
  </si>
  <si>
    <t>Generic position values were replaced with the players normal/common role for the relevant league clubs.</t>
  </si>
  <si>
    <t>Club field</t>
  </si>
  <si>
    <t>Generic club values were replaced with the domestic league clubs most associated with each player.</t>
  </si>
  <si>
    <t>Rating basis</t>
  </si>
  <si>
    <t>Overall Rating = 55% Prime Score + 30% Legacy Score + 15% Longevity Score.</t>
  </si>
  <si>
    <t>Scope</t>
  </si>
  <si>
    <t>Ranking is based on league impact only: La Liga, Serie A and Ligue 1 respectively.</t>
  </si>
  <si>
    <t>Note</t>
  </si>
  <si>
    <t>This remains subjective and debate-friendly rather than a strict statistical model.</t>
  </si>
  <si>
    <t>Sources and reference points used</t>
  </si>
  <si>
    <t>Source / reference point</t>
  </si>
  <si>
    <t>URL</t>
  </si>
  <si>
    <t>Used for</t>
  </si>
  <si>
    <t>All</t>
  </si>
  <si>
    <t>Transfermarkt player profiles</t>
  </si>
  <si>
    <t>https://www.transfermarkt.com/</t>
  </si>
  <si>
    <t>Main position and club history cross-checking</t>
  </si>
  <si>
    <t>Wikipedia player infoboxes / senior career sections</t>
  </si>
  <si>
    <t>https://en.wikipedia.org/</t>
  </si>
  <si>
    <t>Position and senior club history cross-checking</t>
  </si>
  <si>
    <t>La Liga all-time scorers</t>
  </si>
  <si>
    <t>https://en.wikipedia.org/wiki/List_of_La_Liga_top_scorers</t>
  </si>
  <si>
    <t>Historic goalscoring/clubs context</t>
  </si>
  <si>
    <t>Serie A all-time top goalscorers</t>
  </si>
  <si>
    <t>https://www.transfermarkt.com/serie-a/ewigetorschuetzenliste/pokalwettbewerb/IT1</t>
  </si>
  <si>
    <t>Ligue 1 all-time top scorers</t>
  </si>
  <si>
    <t>https://en.wikipedia.org/wiki/List_of_Ligue_1_top_scorers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</si>
</sst>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808080"/>
      <name val="Calibri"/>
    </font>
    <font>
      <b/>
      <sz val="11"/>
      <name val="Calibri"/>
    </font>
    <font>
      <b/>
      <sz val="16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BFD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" fontId="2" fillId="3" borderId="1" xfId="0" applyNumberFormat="1" applyFont="1" applyFill="1" applyBorder="1" applyAlignment="1">
      <alignment horizontal="center" vertical="top"/>
    </xf>
    <xf numFmtId="1" fontId="3" fillId="3" borderId="1" xfId="0" applyNumberFormat="1" applyFont="1" applyFill="1" applyBorder="1" applyAlignment="1">
      <alignment horizontal="center" vertical="top"/>
    </xf>
    <xf numFmtId="1" fontId="4" fillId="3" borderId="1" xfId="0" applyNumberFormat="1" applyFont="1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" fontId="2" fillId="4" borderId="1" xfId="0" applyNumberFormat="1" applyFont="1" applyFill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top"/>
    </xf>
    <xf numFmtId="1" fontId="4" fillId="4" borderId="1" xfId="0" applyNumberFormat="1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1" fontId="2" fillId="5" borderId="1" xfId="0" applyNumberFormat="1" applyFont="1" applyFill="1" applyBorder="1" applyAlignment="1">
      <alignment horizontal="center" vertical="top"/>
    </xf>
    <xf numFmtId="1" fontId="3" fillId="5" borderId="1" xfId="0" applyNumberFormat="1" applyFont="1" applyFill="1" applyBorder="1" applyAlignment="1">
      <alignment horizontal="center" vertical="top"/>
    </xf>
    <xf numFmtId="1" fontId="4" fillId="5" borderId="1" xfId="0" applyNumberFormat="1" applyFont="1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1" fontId="2" fillId="6" borderId="1" xfId="0" applyNumberFormat="1" applyFont="1" applyFill="1" applyBorder="1" applyAlignment="1">
      <alignment horizontal="center" vertical="top"/>
    </xf>
    <xf numFmtId="1" fontId="3" fillId="6" borderId="1" xfId="0" applyNumberFormat="1" applyFont="1" applyFill="1" applyBorder="1" applyAlignment="1">
      <alignment horizontal="center" vertical="top"/>
    </xf>
    <xf numFmtId="1" fontId="4" fillId="6" borderId="1" xfId="0" applyNumberFormat="1" applyFont="1" applyFill="1" applyBorder="1" applyAlignment="1">
      <alignment horizontal="center" vertical="top"/>
    </xf>
    <xf numFmtId="0" fontId="0" fillId="7" borderId="1" xfId="0" applyFill="1" applyBorder="1" applyAlignment="1">
      <alignment vertical="top" wrapText="1"/>
    </xf>
    <xf numFmtId="1" fontId="2" fillId="7" borderId="1" xfId="0" applyNumberFormat="1" applyFont="1" applyFill="1" applyBorder="1" applyAlignment="1">
      <alignment horizontal="center" vertical="top"/>
    </xf>
    <xf numFmtId="1" fontId="3" fillId="7" borderId="1" xfId="0" applyNumberFormat="1" applyFont="1" applyFill="1" applyBorder="1" applyAlignment="1">
      <alignment horizontal="center" vertical="top"/>
    </xf>
    <xf numFmtId="1" fontId="4" fillId="7" borderId="1" xfId="0" applyNumberFormat="1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5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Average Rating by League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Summary!$D$2</c:f>
              <c:strCache>
                <c:ptCount val="1"/>
                <c:pt idx="0">
                  <c:v>Average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Summary!$A$3:$A$5</c:f>
              <c:strCache>
                <c:ptCount val="3"/>
                <c:pt idx="0">
                  <c:v>La Liga</c:v>
                </c:pt>
                <c:pt idx="1">
                  <c:v>Serie A</c:v>
                </c:pt>
                <c:pt idx="2">
                  <c:v>Ligue 1</c:v>
                </c:pt>
              </c:strCache>
            </c:strRef>
          </c:cat>
          <c:val>
            <c:numRef>
              <c:f>Summary!$D$3:$D$5</c:f>
              <c:numCache>
                <c:formatCode>General</c:formatCode>
                <c:ptCount val="3"/>
                <c:pt idx="0">
                  <c:v>86.6</c:v>
                </c:pt>
                <c:pt idx="1">
                  <c:v>86.6</c:v>
                </c:pt>
                <c:pt idx="2">
                  <c:v>86.6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6-4562-A008-C26A4B229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League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Average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LigaTop200" displayName="LaLigaTop200" ref="A1:J201">
  <autoFilter ref="A1:J201" xr:uid="{00000000-0009-0000-0100-000001000000}"/>
  <tableColumns count="10">
    <tableColumn id="1" xr3:uid="{00000000-0010-0000-0000-000001000000}" name="Rank"/>
    <tableColumn id="2" xr3:uid="{00000000-0010-0000-0000-000002000000}" name="Player"/>
    <tableColumn id="3" xr3:uid="{00000000-0010-0000-0000-000003000000}" name="Primary Position"/>
    <tableColumn id="4" xr3:uid="{00000000-0010-0000-0000-000004000000}" name="Main League Club(s)"/>
    <tableColumn id="5" xr3:uid="{00000000-0010-0000-0000-000005000000}" name="League Era / Context"/>
    <tableColumn id="6" xr3:uid="{00000000-0010-0000-0000-000006000000}" name="Prime Score"/>
    <tableColumn id="7" xr3:uid="{00000000-0010-0000-0000-000007000000}" name="Legacy Score"/>
    <tableColumn id="8" xr3:uid="{00000000-0010-0000-0000-000008000000}" name="Longevity Score"/>
    <tableColumn id="9" xr3:uid="{00000000-0010-0000-0000-000009000000}" name="Overall Rating"/>
    <tableColumn id="10" xr3:uid="{00000000-0010-0000-0000-00000A000000}" name="Short rational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ieATop200" displayName="SerieATop200" ref="A1:J201">
  <autoFilter ref="A1:J201" xr:uid="{00000000-0009-0000-0100-000002000000}"/>
  <tableColumns count="10">
    <tableColumn id="1" xr3:uid="{00000000-0010-0000-0100-000001000000}" name="Rank"/>
    <tableColumn id="2" xr3:uid="{00000000-0010-0000-0100-000002000000}" name="Player"/>
    <tableColumn id="3" xr3:uid="{00000000-0010-0000-0100-000003000000}" name="Primary Position"/>
    <tableColumn id="4" xr3:uid="{00000000-0010-0000-0100-000004000000}" name="Main League Club(s)"/>
    <tableColumn id="5" xr3:uid="{00000000-0010-0000-0100-000005000000}" name="League Era / Context"/>
    <tableColumn id="6" xr3:uid="{00000000-0010-0000-0100-000006000000}" name="Prime Score"/>
    <tableColumn id="7" xr3:uid="{00000000-0010-0000-0100-000007000000}" name="Legacy Score"/>
    <tableColumn id="8" xr3:uid="{00000000-0010-0000-0100-000008000000}" name="Longevity Score"/>
    <tableColumn id="9" xr3:uid="{00000000-0010-0000-0100-000009000000}" name="Overall Rating"/>
    <tableColumn id="10" xr3:uid="{00000000-0010-0000-0100-00000A000000}" name="Short rational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gue1Top200" displayName="Ligue1Top200" ref="A1:J201">
  <autoFilter ref="A1:J201" xr:uid="{00000000-0009-0000-0100-000003000000}"/>
  <tableColumns count="10">
    <tableColumn id="1" xr3:uid="{00000000-0010-0000-0200-000001000000}" name="Rank"/>
    <tableColumn id="2" xr3:uid="{00000000-0010-0000-0200-000002000000}" name="Player"/>
    <tableColumn id="3" xr3:uid="{00000000-0010-0000-0200-000003000000}" name="Primary Position"/>
    <tableColumn id="4" xr3:uid="{00000000-0010-0000-0200-000004000000}" name="Main League Club(s)"/>
    <tableColumn id="5" xr3:uid="{00000000-0010-0000-0200-000005000000}" name="League Era / Context"/>
    <tableColumn id="6" xr3:uid="{00000000-0010-0000-0200-000006000000}" name="Prime Score"/>
    <tableColumn id="7" xr3:uid="{00000000-0010-0000-0200-000007000000}" name="Legacy Score"/>
    <tableColumn id="8" xr3:uid="{00000000-0010-0000-0200-000008000000}" name="Longevity Score"/>
    <tableColumn id="9" xr3:uid="{00000000-0010-0000-0200-000009000000}" name="Overall Rating"/>
    <tableColumn id="10" xr3:uid="{00000000-0010-0000-0200-00000A000000}" name="Short rationa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showGridLines="0" workbookViewId="0">
      <selection sqref="A1:G1"/>
    </sheetView>
  </sheetViews>
  <sheetFormatPr defaultRowHeight="15" x14ac:dyDescent="0.25"/>
  <cols>
    <col min="1" max="1" width="16" customWidth="1"/>
    <col min="2" max="2" width="12" customWidth="1"/>
    <col min="3" max="3" width="24" customWidth="1"/>
    <col min="4" max="4" width="16" customWidth="1"/>
    <col min="5" max="5" width="18" customWidth="1"/>
    <col min="6" max="6" width="20" customWidth="1"/>
    <col min="7" max="7" width="18" customWidth="1"/>
  </cols>
  <sheetData>
    <row r="1" spans="1:7" ht="21" x14ac:dyDescent="0.35">
      <c r="A1" s="24" t="s">
        <v>0</v>
      </c>
      <c r="B1" s="25"/>
      <c r="C1" s="25"/>
      <c r="D1" s="25"/>
      <c r="E1" s="25"/>
      <c r="F1" s="25"/>
      <c r="G1" s="2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8</v>
      </c>
      <c r="B3">
        <f>COUNTA('La Liga'!B2:B201)</f>
        <v>200</v>
      </c>
      <c r="C3" t="str">
        <f>'La Liga'!B2</f>
        <v>Lionel Messi</v>
      </c>
      <c r="D3">
        <f>ROUND(AVERAGE('La Liga'!I2:I201),1)</f>
        <v>86.6</v>
      </c>
      <c r="E3">
        <f>COUNTIF('La Liga'!I2:I201,"&gt;=90")</f>
        <v>50</v>
      </c>
      <c r="F3">
        <f>COUNTIF('La Liga'!C2:C201,"Various")</f>
        <v>0</v>
      </c>
      <c r="G3">
        <f>COUNTIF('La Liga'!D2:D201,"Major*")</f>
        <v>0</v>
      </c>
    </row>
    <row r="4" spans="1:7" x14ac:dyDescent="0.25">
      <c r="A4" t="s">
        <v>9</v>
      </c>
      <c r="B4">
        <f>COUNTA('Serie A'!B2:B201)</f>
        <v>200</v>
      </c>
      <c r="C4" t="str">
        <f>'Serie A'!B2</f>
        <v>Diego Maradona</v>
      </c>
      <c r="D4">
        <f>ROUND(AVERAGE('Serie A'!I2:I201),1)</f>
        <v>86.6</v>
      </c>
      <c r="E4">
        <f>COUNTIF('Serie A'!I2:I201,"&gt;=90")</f>
        <v>50</v>
      </c>
      <c r="F4">
        <f>COUNTIF('Serie A'!C2:C201,"Various")</f>
        <v>0</v>
      </c>
      <c r="G4">
        <f>COUNTIF('Serie A'!D2:D201,"Major*")</f>
        <v>0</v>
      </c>
    </row>
    <row r="5" spans="1:7" x14ac:dyDescent="0.25">
      <c r="A5" t="s">
        <v>10</v>
      </c>
      <c r="B5">
        <f>COUNTA('Ligue 1'!B2:B201)</f>
        <v>200</v>
      </c>
      <c r="C5" t="str">
        <f>'Ligue 1'!B2</f>
        <v>Kylian Mbappe</v>
      </c>
      <c r="D5">
        <f>ROUND(AVERAGE('Ligue 1'!I2:I201),1)</f>
        <v>86.6</v>
      </c>
      <c r="E5">
        <f>COUNTIF('Ligue 1'!I2:I201,"&gt;=90")</f>
        <v>50</v>
      </c>
      <c r="F5">
        <f>COUNTIF('Ligue 1'!C2:C201,"Various")</f>
        <v>0</v>
      </c>
      <c r="G5">
        <f>COUNTIF('Ligue 1'!D2:D201,"Major*")</f>
        <v>0</v>
      </c>
    </row>
  </sheetData>
  <mergeCells count="1"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20" customWidth="1"/>
    <col min="6" max="7" width="13" customWidth="1"/>
    <col min="8" max="8" width="15" customWidth="1"/>
    <col min="9" max="9" width="14" customWidth="1"/>
    <col min="10" max="10" width="76" customWidth="1"/>
  </cols>
  <sheetData>
    <row r="1" spans="1:10" ht="30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33.950000000000003" customHeight="1" x14ac:dyDescent="0.25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4">
        <v>100</v>
      </c>
      <c r="G2" s="5">
        <v>100</v>
      </c>
      <c r="H2" s="5">
        <v>96</v>
      </c>
      <c r="I2" s="6">
        <f t="shared" ref="I2:I33" si="0">ROUND(F2*0.55+G2*0.3+H2*0.15,0)</f>
        <v>99</v>
      </c>
      <c r="J2" s="3" t="s">
        <v>25</v>
      </c>
    </row>
    <row r="3" spans="1:10" ht="33.950000000000003" customHeight="1" x14ac:dyDescent="0.25">
      <c r="A3" s="3">
        <v>2</v>
      </c>
      <c r="B3" s="3" t="s">
        <v>26</v>
      </c>
      <c r="C3" s="3" t="s">
        <v>27</v>
      </c>
      <c r="D3" s="3" t="s">
        <v>28</v>
      </c>
      <c r="E3" s="3" t="s">
        <v>24</v>
      </c>
      <c r="F3" s="4">
        <v>100</v>
      </c>
      <c r="G3" s="5">
        <v>100</v>
      </c>
      <c r="H3" s="5">
        <v>95</v>
      </c>
      <c r="I3" s="6">
        <f t="shared" si="0"/>
        <v>99</v>
      </c>
      <c r="J3" s="3" t="s">
        <v>25</v>
      </c>
    </row>
    <row r="4" spans="1:10" ht="33.950000000000003" customHeight="1" x14ac:dyDescent="0.25">
      <c r="A4" s="3">
        <v>3</v>
      </c>
      <c r="B4" s="3" t="s">
        <v>29</v>
      </c>
      <c r="C4" s="3" t="s">
        <v>30</v>
      </c>
      <c r="D4" s="3" t="s">
        <v>31</v>
      </c>
      <c r="E4" s="3" t="s">
        <v>24</v>
      </c>
      <c r="F4" s="4">
        <v>99</v>
      </c>
      <c r="G4" s="5">
        <v>99</v>
      </c>
      <c r="H4" s="5">
        <v>95</v>
      </c>
      <c r="I4" s="6">
        <f t="shared" si="0"/>
        <v>98</v>
      </c>
      <c r="J4" s="3" t="s">
        <v>25</v>
      </c>
    </row>
    <row r="5" spans="1:10" ht="33.950000000000003" customHeight="1" x14ac:dyDescent="0.25">
      <c r="A5" s="3">
        <v>4</v>
      </c>
      <c r="B5" s="3" t="s">
        <v>32</v>
      </c>
      <c r="C5" s="3" t="s">
        <v>33</v>
      </c>
      <c r="D5" s="3" t="s">
        <v>23</v>
      </c>
      <c r="E5" s="3" t="s">
        <v>24</v>
      </c>
      <c r="F5" s="4">
        <v>99</v>
      </c>
      <c r="G5" s="5">
        <v>99</v>
      </c>
      <c r="H5" s="5">
        <v>94</v>
      </c>
      <c r="I5" s="6">
        <f t="shared" si="0"/>
        <v>98</v>
      </c>
      <c r="J5" s="3" t="s">
        <v>25</v>
      </c>
    </row>
    <row r="6" spans="1:10" ht="33.950000000000003" customHeight="1" x14ac:dyDescent="0.25">
      <c r="A6" s="3">
        <v>5</v>
      </c>
      <c r="B6" s="3" t="s">
        <v>34</v>
      </c>
      <c r="C6" s="3" t="s">
        <v>35</v>
      </c>
      <c r="D6" s="3" t="s">
        <v>23</v>
      </c>
      <c r="E6" s="3" t="s">
        <v>24</v>
      </c>
      <c r="F6" s="4">
        <v>99</v>
      </c>
      <c r="G6" s="5">
        <v>99</v>
      </c>
      <c r="H6" s="5">
        <v>94</v>
      </c>
      <c r="I6" s="6">
        <f t="shared" si="0"/>
        <v>98</v>
      </c>
      <c r="J6" s="3" t="s">
        <v>25</v>
      </c>
    </row>
    <row r="7" spans="1:10" ht="33.950000000000003" customHeight="1" x14ac:dyDescent="0.25">
      <c r="A7" s="3">
        <v>6</v>
      </c>
      <c r="B7" s="3" t="s">
        <v>36</v>
      </c>
      <c r="C7" s="3" t="s">
        <v>37</v>
      </c>
      <c r="D7" s="3" t="s">
        <v>23</v>
      </c>
      <c r="E7" s="3" t="s">
        <v>24</v>
      </c>
      <c r="F7" s="4">
        <v>99</v>
      </c>
      <c r="G7" s="5">
        <v>98</v>
      </c>
      <c r="H7" s="5">
        <v>93</v>
      </c>
      <c r="I7" s="6">
        <f t="shared" si="0"/>
        <v>98</v>
      </c>
      <c r="J7" s="3" t="s">
        <v>25</v>
      </c>
    </row>
    <row r="8" spans="1:10" ht="33.950000000000003" customHeight="1" x14ac:dyDescent="0.25">
      <c r="A8" s="3">
        <v>7</v>
      </c>
      <c r="B8" s="3" t="s">
        <v>38</v>
      </c>
      <c r="C8" s="3" t="s">
        <v>39</v>
      </c>
      <c r="D8" s="3" t="s">
        <v>28</v>
      </c>
      <c r="E8" s="3" t="s">
        <v>24</v>
      </c>
      <c r="F8" s="4">
        <v>99</v>
      </c>
      <c r="G8" s="5">
        <v>98</v>
      </c>
      <c r="H8" s="5">
        <v>93</v>
      </c>
      <c r="I8" s="6">
        <f t="shared" si="0"/>
        <v>98</v>
      </c>
      <c r="J8" s="3" t="s">
        <v>25</v>
      </c>
    </row>
    <row r="9" spans="1:10" ht="33.950000000000003" customHeight="1" x14ac:dyDescent="0.25">
      <c r="A9" s="3">
        <v>8</v>
      </c>
      <c r="B9" s="3" t="s">
        <v>40</v>
      </c>
      <c r="C9" s="3" t="s">
        <v>41</v>
      </c>
      <c r="D9" s="3" t="s">
        <v>23</v>
      </c>
      <c r="E9" s="3" t="s">
        <v>24</v>
      </c>
      <c r="F9" s="4">
        <v>99</v>
      </c>
      <c r="G9" s="5">
        <v>98</v>
      </c>
      <c r="H9" s="5">
        <v>93</v>
      </c>
      <c r="I9" s="6">
        <f t="shared" si="0"/>
        <v>98</v>
      </c>
      <c r="J9" s="3" t="s">
        <v>25</v>
      </c>
    </row>
    <row r="10" spans="1:10" ht="33.950000000000003" customHeight="1" x14ac:dyDescent="0.25">
      <c r="A10" s="3">
        <v>9</v>
      </c>
      <c r="B10" s="3" t="s">
        <v>42</v>
      </c>
      <c r="C10" s="3" t="s">
        <v>43</v>
      </c>
      <c r="D10" s="3" t="s">
        <v>44</v>
      </c>
      <c r="E10" s="3" t="s">
        <v>24</v>
      </c>
      <c r="F10" s="4">
        <v>98</v>
      </c>
      <c r="G10" s="5">
        <v>97</v>
      </c>
      <c r="H10" s="5">
        <v>92</v>
      </c>
      <c r="I10" s="6">
        <f t="shared" si="0"/>
        <v>97</v>
      </c>
      <c r="J10" s="3" t="s">
        <v>25</v>
      </c>
    </row>
    <row r="11" spans="1:10" ht="33.950000000000003" customHeight="1" x14ac:dyDescent="0.25">
      <c r="A11" s="3">
        <v>10</v>
      </c>
      <c r="B11" s="3" t="s">
        <v>45</v>
      </c>
      <c r="C11" s="3" t="s">
        <v>43</v>
      </c>
      <c r="D11" s="3" t="s">
        <v>28</v>
      </c>
      <c r="E11" s="3" t="s">
        <v>24</v>
      </c>
      <c r="F11" s="4">
        <v>98</v>
      </c>
      <c r="G11" s="5">
        <v>97</v>
      </c>
      <c r="H11" s="5">
        <v>92</v>
      </c>
      <c r="I11" s="6">
        <f t="shared" si="0"/>
        <v>97</v>
      </c>
      <c r="J11" s="3" t="s">
        <v>25</v>
      </c>
    </row>
    <row r="12" spans="1:10" ht="33.950000000000003" customHeight="1" x14ac:dyDescent="0.25">
      <c r="A12" s="7">
        <v>11</v>
      </c>
      <c r="B12" s="7" t="s">
        <v>46</v>
      </c>
      <c r="C12" s="7" t="s">
        <v>47</v>
      </c>
      <c r="D12" s="7" t="s">
        <v>28</v>
      </c>
      <c r="E12" s="7" t="s">
        <v>24</v>
      </c>
      <c r="F12" s="8">
        <v>97</v>
      </c>
      <c r="G12" s="9">
        <v>96</v>
      </c>
      <c r="H12" s="9">
        <v>91</v>
      </c>
      <c r="I12" s="10">
        <f t="shared" si="0"/>
        <v>96</v>
      </c>
      <c r="J12" s="7" t="s">
        <v>25</v>
      </c>
    </row>
    <row r="13" spans="1:10" ht="33.950000000000003" customHeight="1" x14ac:dyDescent="0.25">
      <c r="A13" s="7">
        <v>12</v>
      </c>
      <c r="B13" s="7" t="s">
        <v>48</v>
      </c>
      <c r="C13" s="7" t="s">
        <v>43</v>
      </c>
      <c r="D13" s="7" t="s">
        <v>28</v>
      </c>
      <c r="E13" s="7" t="s">
        <v>24</v>
      </c>
      <c r="F13" s="8">
        <v>97</v>
      </c>
      <c r="G13" s="9">
        <v>96</v>
      </c>
      <c r="H13" s="9">
        <v>91</v>
      </c>
      <c r="I13" s="10">
        <f t="shared" si="0"/>
        <v>96</v>
      </c>
      <c r="J13" s="7" t="s">
        <v>25</v>
      </c>
    </row>
    <row r="14" spans="1:10" ht="33.950000000000003" customHeight="1" x14ac:dyDescent="0.25">
      <c r="A14" s="7">
        <v>13</v>
      </c>
      <c r="B14" s="7" t="s">
        <v>49</v>
      </c>
      <c r="C14" s="7" t="s">
        <v>50</v>
      </c>
      <c r="D14" s="7" t="s">
        <v>51</v>
      </c>
      <c r="E14" s="7" t="s">
        <v>24</v>
      </c>
      <c r="F14" s="8">
        <v>97</v>
      </c>
      <c r="G14" s="9">
        <v>96</v>
      </c>
      <c r="H14" s="9">
        <v>91</v>
      </c>
      <c r="I14" s="10">
        <f t="shared" si="0"/>
        <v>96</v>
      </c>
      <c r="J14" s="7" t="s">
        <v>25</v>
      </c>
    </row>
    <row r="15" spans="1:10" ht="33.950000000000003" customHeight="1" x14ac:dyDescent="0.25">
      <c r="A15" s="7">
        <v>14</v>
      </c>
      <c r="B15" s="7" t="s">
        <v>52</v>
      </c>
      <c r="C15" s="7" t="s">
        <v>53</v>
      </c>
      <c r="D15" s="7" t="s">
        <v>28</v>
      </c>
      <c r="E15" s="7" t="s">
        <v>24</v>
      </c>
      <c r="F15" s="8">
        <v>97</v>
      </c>
      <c r="G15" s="9">
        <v>96</v>
      </c>
      <c r="H15" s="9">
        <v>91</v>
      </c>
      <c r="I15" s="10">
        <f t="shared" si="0"/>
        <v>96</v>
      </c>
      <c r="J15" s="7" t="s">
        <v>25</v>
      </c>
    </row>
    <row r="16" spans="1:10" ht="33.950000000000003" customHeight="1" x14ac:dyDescent="0.25">
      <c r="A16" s="7">
        <v>15</v>
      </c>
      <c r="B16" s="7" t="s">
        <v>54</v>
      </c>
      <c r="C16" s="7" t="s">
        <v>33</v>
      </c>
      <c r="D16" s="7" t="s">
        <v>28</v>
      </c>
      <c r="E16" s="7" t="s">
        <v>24</v>
      </c>
      <c r="F16" s="8">
        <v>97</v>
      </c>
      <c r="G16" s="9">
        <v>96</v>
      </c>
      <c r="H16" s="9">
        <v>91</v>
      </c>
      <c r="I16" s="10">
        <f t="shared" si="0"/>
        <v>96</v>
      </c>
      <c r="J16" s="7" t="s">
        <v>25</v>
      </c>
    </row>
    <row r="17" spans="1:10" ht="33.950000000000003" customHeight="1" x14ac:dyDescent="0.25">
      <c r="A17" s="7">
        <v>16</v>
      </c>
      <c r="B17" s="7" t="s">
        <v>55</v>
      </c>
      <c r="C17" s="7" t="s">
        <v>56</v>
      </c>
      <c r="D17" s="7" t="s">
        <v>23</v>
      </c>
      <c r="E17" s="7" t="s">
        <v>24</v>
      </c>
      <c r="F17" s="8">
        <v>96</v>
      </c>
      <c r="G17" s="9">
        <v>95</v>
      </c>
      <c r="H17" s="9">
        <v>90</v>
      </c>
      <c r="I17" s="10">
        <f t="shared" si="0"/>
        <v>95</v>
      </c>
      <c r="J17" s="7" t="s">
        <v>25</v>
      </c>
    </row>
    <row r="18" spans="1:10" ht="33.950000000000003" customHeight="1" x14ac:dyDescent="0.25">
      <c r="A18" s="7">
        <v>17</v>
      </c>
      <c r="B18" s="7" t="s">
        <v>57</v>
      </c>
      <c r="C18" s="7" t="s">
        <v>58</v>
      </c>
      <c r="D18" s="7" t="s">
        <v>59</v>
      </c>
      <c r="E18" s="7" t="s">
        <v>24</v>
      </c>
      <c r="F18" s="8">
        <v>96</v>
      </c>
      <c r="G18" s="9">
        <v>95</v>
      </c>
      <c r="H18" s="9">
        <v>90</v>
      </c>
      <c r="I18" s="10">
        <f t="shared" si="0"/>
        <v>95</v>
      </c>
      <c r="J18" s="7" t="s">
        <v>25</v>
      </c>
    </row>
    <row r="19" spans="1:10" ht="33.950000000000003" customHeight="1" x14ac:dyDescent="0.25">
      <c r="A19" s="7">
        <v>18</v>
      </c>
      <c r="B19" s="7" t="s">
        <v>60</v>
      </c>
      <c r="C19" s="7" t="s">
        <v>61</v>
      </c>
      <c r="D19" s="7" t="s">
        <v>23</v>
      </c>
      <c r="E19" s="7" t="s">
        <v>24</v>
      </c>
      <c r="F19" s="8">
        <v>96</v>
      </c>
      <c r="G19" s="9">
        <v>95</v>
      </c>
      <c r="H19" s="9">
        <v>90</v>
      </c>
      <c r="I19" s="10">
        <f t="shared" si="0"/>
        <v>95</v>
      </c>
      <c r="J19" s="7" t="s">
        <v>25</v>
      </c>
    </row>
    <row r="20" spans="1:10" ht="33.950000000000003" customHeight="1" x14ac:dyDescent="0.25">
      <c r="A20" s="7">
        <v>19</v>
      </c>
      <c r="B20" s="7" t="s">
        <v>62</v>
      </c>
      <c r="C20" s="7" t="s">
        <v>43</v>
      </c>
      <c r="D20" s="7" t="s">
        <v>63</v>
      </c>
      <c r="E20" s="7" t="s">
        <v>24</v>
      </c>
      <c r="F20" s="8">
        <v>96</v>
      </c>
      <c r="G20" s="9">
        <v>95</v>
      </c>
      <c r="H20" s="9">
        <v>90</v>
      </c>
      <c r="I20" s="10">
        <f t="shared" si="0"/>
        <v>95</v>
      </c>
      <c r="J20" s="7" t="s">
        <v>25</v>
      </c>
    </row>
    <row r="21" spans="1:10" ht="33.950000000000003" customHeight="1" x14ac:dyDescent="0.25">
      <c r="A21" s="7">
        <v>20</v>
      </c>
      <c r="B21" s="7" t="s">
        <v>64</v>
      </c>
      <c r="C21" s="7" t="s">
        <v>43</v>
      </c>
      <c r="D21" s="7" t="s">
        <v>65</v>
      </c>
      <c r="E21" s="7" t="s">
        <v>24</v>
      </c>
      <c r="F21" s="8">
        <v>96</v>
      </c>
      <c r="G21" s="9">
        <v>95</v>
      </c>
      <c r="H21" s="9">
        <v>90</v>
      </c>
      <c r="I21" s="10">
        <f t="shared" si="0"/>
        <v>95</v>
      </c>
      <c r="J21" s="7" t="s">
        <v>25</v>
      </c>
    </row>
    <row r="22" spans="1:10" ht="33.950000000000003" customHeight="1" x14ac:dyDescent="0.25">
      <c r="A22" s="7">
        <v>21</v>
      </c>
      <c r="B22" s="7" t="s">
        <v>66</v>
      </c>
      <c r="C22" s="7" t="s">
        <v>43</v>
      </c>
      <c r="D22" s="7" t="s">
        <v>67</v>
      </c>
      <c r="E22" s="7" t="s">
        <v>24</v>
      </c>
      <c r="F22" s="8">
        <v>95</v>
      </c>
      <c r="G22" s="9">
        <v>94</v>
      </c>
      <c r="H22" s="9">
        <v>91</v>
      </c>
      <c r="I22" s="10">
        <f t="shared" si="0"/>
        <v>94</v>
      </c>
      <c r="J22" s="7" t="s">
        <v>25</v>
      </c>
    </row>
    <row r="23" spans="1:10" ht="33.950000000000003" customHeight="1" x14ac:dyDescent="0.25">
      <c r="A23" s="7">
        <v>22</v>
      </c>
      <c r="B23" s="7" t="s">
        <v>68</v>
      </c>
      <c r="C23" s="7" t="s">
        <v>69</v>
      </c>
      <c r="D23" s="7" t="s">
        <v>70</v>
      </c>
      <c r="E23" s="7" t="s">
        <v>24</v>
      </c>
      <c r="F23" s="8">
        <v>95</v>
      </c>
      <c r="G23" s="9">
        <v>94</v>
      </c>
      <c r="H23" s="9">
        <v>91</v>
      </c>
      <c r="I23" s="10">
        <f t="shared" si="0"/>
        <v>94</v>
      </c>
      <c r="J23" s="7" t="s">
        <v>25</v>
      </c>
    </row>
    <row r="24" spans="1:10" ht="33.950000000000003" customHeight="1" x14ac:dyDescent="0.25">
      <c r="A24" s="7">
        <v>23</v>
      </c>
      <c r="B24" s="7" t="s">
        <v>71</v>
      </c>
      <c r="C24" s="7" t="s">
        <v>22</v>
      </c>
      <c r="D24" s="7" t="s">
        <v>63</v>
      </c>
      <c r="E24" s="7" t="s">
        <v>24</v>
      </c>
      <c r="F24" s="8">
        <v>95</v>
      </c>
      <c r="G24" s="9">
        <v>94</v>
      </c>
      <c r="H24" s="9">
        <v>91</v>
      </c>
      <c r="I24" s="10">
        <f t="shared" si="0"/>
        <v>94</v>
      </c>
      <c r="J24" s="7" t="s">
        <v>25</v>
      </c>
    </row>
    <row r="25" spans="1:10" ht="33.950000000000003" customHeight="1" x14ac:dyDescent="0.25">
      <c r="A25" s="7">
        <v>24</v>
      </c>
      <c r="B25" s="7" t="s">
        <v>72</v>
      </c>
      <c r="C25" s="7" t="s">
        <v>43</v>
      </c>
      <c r="D25" s="7" t="s">
        <v>73</v>
      </c>
      <c r="E25" s="7" t="s">
        <v>24</v>
      </c>
      <c r="F25" s="8">
        <v>95</v>
      </c>
      <c r="G25" s="9">
        <v>94</v>
      </c>
      <c r="H25" s="9">
        <v>91</v>
      </c>
      <c r="I25" s="10">
        <f t="shared" si="0"/>
        <v>94</v>
      </c>
      <c r="J25" s="7" t="s">
        <v>25</v>
      </c>
    </row>
    <row r="26" spans="1:10" ht="33.950000000000003" customHeight="1" x14ac:dyDescent="0.25">
      <c r="A26" s="7">
        <v>25</v>
      </c>
      <c r="B26" s="7" t="s">
        <v>74</v>
      </c>
      <c r="C26" s="7" t="s">
        <v>43</v>
      </c>
      <c r="D26" s="7" t="s">
        <v>75</v>
      </c>
      <c r="E26" s="7" t="s">
        <v>24</v>
      </c>
      <c r="F26" s="8">
        <v>95</v>
      </c>
      <c r="G26" s="9">
        <v>94</v>
      </c>
      <c r="H26" s="9">
        <v>91</v>
      </c>
      <c r="I26" s="10">
        <f t="shared" si="0"/>
        <v>94</v>
      </c>
      <c r="J26" s="7" t="s">
        <v>25</v>
      </c>
    </row>
    <row r="27" spans="1:10" ht="33.950000000000003" customHeight="1" x14ac:dyDescent="0.25">
      <c r="A27" s="11">
        <v>26</v>
      </c>
      <c r="B27" s="11" t="s">
        <v>76</v>
      </c>
      <c r="C27" s="11" t="s">
        <v>61</v>
      </c>
      <c r="D27" s="11" t="s">
        <v>28</v>
      </c>
      <c r="E27" s="11" t="s">
        <v>24</v>
      </c>
      <c r="F27" s="12">
        <v>93</v>
      </c>
      <c r="G27" s="13">
        <v>93</v>
      </c>
      <c r="H27" s="13">
        <v>90</v>
      </c>
      <c r="I27" s="14">
        <f t="shared" si="0"/>
        <v>93</v>
      </c>
      <c r="J27" s="11" t="s">
        <v>25</v>
      </c>
    </row>
    <row r="28" spans="1:10" ht="33.950000000000003" customHeight="1" x14ac:dyDescent="0.25">
      <c r="A28" s="11">
        <v>27</v>
      </c>
      <c r="B28" s="11" t="s">
        <v>77</v>
      </c>
      <c r="C28" s="11" t="s">
        <v>78</v>
      </c>
      <c r="D28" s="11" t="s">
        <v>28</v>
      </c>
      <c r="E28" s="11" t="s">
        <v>24</v>
      </c>
      <c r="F28" s="12">
        <v>93</v>
      </c>
      <c r="G28" s="13">
        <v>93</v>
      </c>
      <c r="H28" s="13">
        <v>90</v>
      </c>
      <c r="I28" s="14">
        <f t="shared" si="0"/>
        <v>93</v>
      </c>
      <c r="J28" s="11" t="s">
        <v>25</v>
      </c>
    </row>
    <row r="29" spans="1:10" ht="33.950000000000003" customHeight="1" x14ac:dyDescent="0.25">
      <c r="A29" s="11">
        <v>28</v>
      </c>
      <c r="B29" s="11" t="s">
        <v>79</v>
      </c>
      <c r="C29" s="11" t="s">
        <v>43</v>
      </c>
      <c r="D29" s="11" t="s">
        <v>28</v>
      </c>
      <c r="E29" s="11" t="s">
        <v>24</v>
      </c>
      <c r="F29" s="12">
        <v>93</v>
      </c>
      <c r="G29" s="13">
        <v>93</v>
      </c>
      <c r="H29" s="13">
        <v>90</v>
      </c>
      <c r="I29" s="14">
        <f t="shared" si="0"/>
        <v>93</v>
      </c>
      <c r="J29" s="11" t="s">
        <v>25</v>
      </c>
    </row>
    <row r="30" spans="1:10" ht="33.950000000000003" customHeight="1" x14ac:dyDescent="0.25">
      <c r="A30" s="11">
        <v>29</v>
      </c>
      <c r="B30" s="11" t="s">
        <v>80</v>
      </c>
      <c r="C30" s="11" t="s">
        <v>43</v>
      </c>
      <c r="D30" s="11" t="s">
        <v>28</v>
      </c>
      <c r="E30" s="11" t="s">
        <v>24</v>
      </c>
      <c r="F30" s="12">
        <v>93</v>
      </c>
      <c r="G30" s="13">
        <v>93</v>
      </c>
      <c r="H30" s="13">
        <v>90</v>
      </c>
      <c r="I30" s="14">
        <f t="shared" si="0"/>
        <v>93</v>
      </c>
      <c r="J30" s="11" t="s">
        <v>25</v>
      </c>
    </row>
    <row r="31" spans="1:10" ht="33.950000000000003" customHeight="1" x14ac:dyDescent="0.25">
      <c r="A31" s="11">
        <v>30</v>
      </c>
      <c r="B31" s="11" t="s">
        <v>81</v>
      </c>
      <c r="C31" s="11" t="s">
        <v>82</v>
      </c>
      <c r="D31" s="11" t="s">
        <v>83</v>
      </c>
      <c r="E31" s="11" t="s">
        <v>24</v>
      </c>
      <c r="F31" s="12">
        <v>93</v>
      </c>
      <c r="G31" s="13">
        <v>93</v>
      </c>
      <c r="H31" s="13">
        <v>90</v>
      </c>
      <c r="I31" s="14">
        <f t="shared" si="0"/>
        <v>93</v>
      </c>
      <c r="J31" s="11" t="s">
        <v>25</v>
      </c>
    </row>
    <row r="32" spans="1:10" ht="33.950000000000003" customHeight="1" x14ac:dyDescent="0.25">
      <c r="A32" s="11">
        <v>31</v>
      </c>
      <c r="B32" s="11" t="s">
        <v>84</v>
      </c>
      <c r="C32" s="11" t="s">
        <v>50</v>
      </c>
      <c r="D32" s="11" t="s">
        <v>23</v>
      </c>
      <c r="E32" s="11" t="s">
        <v>24</v>
      </c>
      <c r="F32" s="12">
        <v>93</v>
      </c>
      <c r="G32" s="13">
        <v>93</v>
      </c>
      <c r="H32" s="13">
        <v>90</v>
      </c>
      <c r="I32" s="14">
        <f t="shared" si="0"/>
        <v>93</v>
      </c>
      <c r="J32" s="11" t="s">
        <v>25</v>
      </c>
    </row>
    <row r="33" spans="1:10" ht="33.950000000000003" customHeight="1" x14ac:dyDescent="0.25">
      <c r="A33" s="11">
        <v>32</v>
      </c>
      <c r="B33" s="11" t="s">
        <v>85</v>
      </c>
      <c r="C33" s="11" t="s">
        <v>86</v>
      </c>
      <c r="D33" s="11" t="s">
        <v>87</v>
      </c>
      <c r="E33" s="11" t="s">
        <v>24</v>
      </c>
      <c r="F33" s="12">
        <v>93</v>
      </c>
      <c r="G33" s="13">
        <v>93</v>
      </c>
      <c r="H33" s="13">
        <v>90</v>
      </c>
      <c r="I33" s="14">
        <f t="shared" si="0"/>
        <v>93</v>
      </c>
      <c r="J33" s="11" t="s">
        <v>25</v>
      </c>
    </row>
    <row r="34" spans="1:10" ht="33.950000000000003" customHeight="1" x14ac:dyDescent="0.25">
      <c r="A34" s="11">
        <v>33</v>
      </c>
      <c r="B34" s="11" t="s">
        <v>88</v>
      </c>
      <c r="C34" s="11" t="s">
        <v>89</v>
      </c>
      <c r="D34" s="11" t="s">
        <v>28</v>
      </c>
      <c r="E34" s="11" t="s">
        <v>24</v>
      </c>
      <c r="F34" s="12">
        <v>93</v>
      </c>
      <c r="G34" s="13">
        <v>93</v>
      </c>
      <c r="H34" s="13">
        <v>90</v>
      </c>
      <c r="I34" s="14">
        <f t="shared" ref="I34:I65" si="1">ROUND(F34*0.55+G34*0.3+H34*0.15,0)</f>
        <v>93</v>
      </c>
      <c r="J34" s="11" t="s">
        <v>25</v>
      </c>
    </row>
    <row r="35" spans="1:10" ht="33.950000000000003" customHeight="1" x14ac:dyDescent="0.25">
      <c r="A35" s="11">
        <v>34</v>
      </c>
      <c r="B35" s="11" t="s">
        <v>90</v>
      </c>
      <c r="C35" s="11" t="s">
        <v>89</v>
      </c>
      <c r="D35" s="11" t="s">
        <v>28</v>
      </c>
      <c r="E35" s="11" t="s">
        <v>24</v>
      </c>
      <c r="F35" s="12">
        <v>92</v>
      </c>
      <c r="G35" s="13">
        <v>92</v>
      </c>
      <c r="H35" s="13">
        <v>89</v>
      </c>
      <c r="I35" s="14">
        <f t="shared" si="1"/>
        <v>92</v>
      </c>
      <c r="J35" s="11" t="s">
        <v>25</v>
      </c>
    </row>
    <row r="36" spans="1:10" ht="33.950000000000003" customHeight="1" x14ac:dyDescent="0.25">
      <c r="A36" s="11">
        <v>35</v>
      </c>
      <c r="B36" s="11" t="s">
        <v>91</v>
      </c>
      <c r="C36" s="11" t="s">
        <v>50</v>
      </c>
      <c r="D36" s="11" t="s">
        <v>23</v>
      </c>
      <c r="E36" s="11" t="s">
        <v>24</v>
      </c>
      <c r="F36" s="12">
        <v>92</v>
      </c>
      <c r="G36" s="13">
        <v>92</v>
      </c>
      <c r="H36" s="13">
        <v>89</v>
      </c>
      <c r="I36" s="14">
        <f t="shared" si="1"/>
        <v>92</v>
      </c>
      <c r="J36" s="11" t="s">
        <v>25</v>
      </c>
    </row>
    <row r="37" spans="1:10" ht="33.950000000000003" customHeight="1" x14ac:dyDescent="0.25">
      <c r="A37" s="11">
        <v>36</v>
      </c>
      <c r="B37" s="11" t="s">
        <v>92</v>
      </c>
      <c r="C37" s="11" t="s">
        <v>93</v>
      </c>
      <c r="D37" s="11" t="s">
        <v>94</v>
      </c>
      <c r="E37" s="11" t="s">
        <v>24</v>
      </c>
      <c r="F37" s="12">
        <v>92</v>
      </c>
      <c r="G37" s="13">
        <v>92</v>
      </c>
      <c r="H37" s="13">
        <v>89</v>
      </c>
      <c r="I37" s="14">
        <f t="shared" si="1"/>
        <v>92</v>
      </c>
      <c r="J37" s="11" t="s">
        <v>25</v>
      </c>
    </row>
    <row r="38" spans="1:10" ht="33.950000000000003" customHeight="1" x14ac:dyDescent="0.25">
      <c r="A38" s="11">
        <v>37</v>
      </c>
      <c r="B38" s="11" t="s">
        <v>95</v>
      </c>
      <c r="C38" s="11" t="s">
        <v>96</v>
      </c>
      <c r="D38" s="11" t="s">
        <v>97</v>
      </c>
      <c r="E38" s="11" t="s">
        <v>24</v>
      </c>
      <c r="F38" s="12">
        <v>92</v>
      </c>
      <c r="G38" s="13">
        <v>92</v>
      </c>
      <c r="H38" s="13">
        <v>89</v>
      </c>
      <c r="I38" s="14">
        <f t="shared" si="1"/>
        <v>92</v>
      </c>
      <c r="J38" s="11" t="s">
        <v>25</v>
      </c>
    </row>
    <row r="39" spans="1:10" ht="33.950000000000003" customHeight="1" x14ac:dyDescent="0.25">
      <c r="A39" s="11">
        <v>38</v>
      </c>
      <c r="B39" s="11" t="s">
        <v>98</v>
      </c>
      <c r="C39" s="11" t="s">
        <v>50</v>
      </c>
      <c r="D39" s="11" t="s">
        <v>99</v>
      </c>
      <c r="E39" s="11" t="s">
        <v>24</v>
      </c>
      <c r="F39" s="12">
        <v>92</v>
      </c>
      <c r="G39" s="13">
        <v>92</v>
      </c>
      <c r="H39" s="13">
        <v>89</v>
      </c>
      <c r="I39" s="14">
        <f t="shared" si="1"/>
        <v>92</v>
      </c>
      <c r="J39" s="11" t="s">
        <v>25</v>
      </c>
    </row>
    <row r="40" spans="1:10" ht="33.950000000000003" customHeight="1" x14ac:dyDescent="0.25">
      <c r="A40" s="11">
        <v>39</v>
      </c>
      <c r="B40" s="11" t="s">
        <v>100</v>
      </c>
      <c r="C40" s="11" t="s">
        <v>53</v>
      </c>
      <c r="D40" s="11" t="s">
        <v>101</v>
      </c>
      <c r="E40" s="11" t="s">
        <v>24</v>
      </c>
      <c r="F40" s="12">
        <v>92</v>
      </c>
      <c r="G40" s="13">
        <v>92</v>
      </c>
      <c r="H40" s="13">
        <v>89</v>
      </c>
      <c r="I40" s="14">
        <f t="shared" si="1"/>
        <v>92</v>
      </c>
      <c r="J40" s="11" t="s">
        <v>25</v>
      </c>
    </row>
    <row r="41" spans="1:10" ht="33.950000000000003" customHeight="1" x14ac:dyDescent="0.25">
      <c r="A41" s="11">
        <v>40</v>
      </c>
      <c r="B41" s="11" t="s">
        <v>102</v>
      </c>
      <c r="C41" s="11" t="s">
        <v>53</v>
      </c>
      <c r="D41" s="11" t="s">
        <v>103</v>
      </c>
      <c r="E41" s="11" t="s">
        <v>24</v>
      </c>
      <c r="F41" s="12">
        <v>92</v>
      </c>
      <c r="G41" s="13">
        <v>92</v>
      </c>
      <c r="H41" s="13">
        <v>89</v>
      </c>
      <c r="I41" s="14">
        <f t="shared" si="1"/>
        <v>92</v>
      </c>
      <c r="J41" s="11" t="s">
        <v>25</v>
      </c>
    </row>
    <row r="42" spans="1:10" ht="33.950000000000003" customHeight="1" x14ac:dyDescent="0.25">
      <c r="A42" s="11">
        <v>41</v>
      </c>
      <c r="B42" s="11" t="s">
        <v>104</v>
      </c>
      <c r="C42" s="11" t="s">
        <v>105</v>
      </c>
      <c r="D42" s="11" t="s">
        <v>106</v>
      </c>
      <c r="E42" s="11" t="s">
        <v>24</v>
      </c>
      <c r="F42" s="12">
        <v>92</v>
      </c>
      <c r="G42" s="13">
        <v>92</v>
      </c>
      <c r="H42" s="13">
        <v>89</v>
      </c>
      <c r="I42" s="14">
        <f t="shared" si="1"/>
        <v>92</v>
      </c>
      <c r="J42" s="11" t="s">
        <v>25</v>
      </c>
    </row>
    <row r="43" spans="1:10" ht="33.950000000000003" customHeight="1" x14ac:dyDescent="0.25">
      <c r="A43" s="11">
        <v>42</v>
      </c>
      <c r="B43" s="11" t="s">
        <v>107</v>
      </c>
      <c r="C43" s="11" t="s">
        <v>33</v>
      </c>
      <c r="D43" s="11" t="s">
        <v>101</v>
      </c>
      <c r="E43" s="11" t="s">
        <v>24</v>
      </c>
      <c r="F43" s="12">
        <v>91</v>
      </c>
      <c r="G43" s="13">
        <v>91</v>
      </c>
      <c r="H43" s="13">
        <v>88</v>
      </c>
      <c r="I43" s="14">
        <f t="shared" si="1"/>
        <v>91</v>
      </c>
      <c r="J43" s="11" t="s">
        <v>25</v>
      </c>
    </row>
    <row r="44" spans="1:10" ht="33.950000000000003" customHeight="1" x14ac:dyDescent="0.25">
      <c r="A44" s="11">
        <v>43</v>
      </c>
      <c r="B44" s="11" t="s">
        <v>108</v>
      </c>
      <c r="C44" s="11" t="s">
        <v>109</v>
      </c>
      <c r="D44" s="11" t="s">
        <v>101</v>
      </c>
      <c r="E44" s="11" t="s">
        <v>24</v>
      </c>
      <c r="F44" s="12">
        <v>91</v>
      </c>
      <c r="G44" s="13">
        <v>91</v>
      </c>
      <c r="H44" s="13">
        <v>88</v>
      </c>
      <c r="I44" s="14">
        <f t="shared" si="1"/>
        <v>91</v>
      </c>
      <c r="J44" s="11" t="s">
        <v>25</v>
      </c>
    </row>
    <row r="45" spans="1:10" ht="33.950000000000003" customHeight="1" x14ac:dyDescent="0.25">
      <c r="A45" s="11">
        <v>44</v>
      </c>
      <c r="B45" s="11" t="s">
        <v>110</v>
      </c>
      <c r="C45" s="11" t="s">
        <v>43</v>
      </c>
      <c r="D45" s="11" t="s">
        <v>111</v>
      </c>
      <c r="E45" s="11" t="s">
        <v>24</v>
      </c>
      <c r="F45" s="12">
        <v>91</v>
      </c>
      <c r="G45" s="13">
        <v>91</v>
      </c>
      <c r="H45" s="13">
        <v>88</v>
      </c>
      <c r="I45" s="14">
        <f t="shared" si="1"/>
        <v>91</v>
      </c>
      <c r="J45" s="11" t="s">
        <v>25</v>
      </c>
    </row>
    <row r="46" spans="1:10" ht="33.950000000000003" customHeight="1" x14ac:dyDescent="0.25">
      <c r="A46" s="11">
        <v>45</v>
      </c>
      <c r="B46" s="11" t="s">
        <v>112</v>
      </c>
      <c r="C46" s="11" t="s">
        <v>43</v>
      </c>
      <c r="D46" s="11" t="s">
        <v>113</v>
      </c>
      <c r="E46" s="11" t="s">
        <v>24</v>
      </c>
      <c r="F46" s="12">
        <v>91</v>
      </c>
      <c r="G46" s="13">
        <v>91</v>
      </c>
      <c r="H46" s="13">
        <v>88</v>
      </c>
      <c r="I46" s="14">
        <f t="shared" si="1"/>
        <v>91</v>
      </c>
      <c r="J46" s="11" t="s">
        <v>25</v>
      </c>
    </row>
    <row r="47" spans="1:10" ht="33.950000000000003" customHeight="1" x14ac:dyDescent="0.25">
      <c r="A47" s="11">
        <v>46</v>
      </c>
      <c r="B47" s="11" t="s">
        <v>114</v>
      </c>
      <c r="C47" s="11" t="s">
        <v>115</v>
      </c>
      <c r="D47" s="11" t="s">
        <v>116</v>
      </c>
      <c r="E47" s="11" t="s">
        <v>24</v>
      </c>
      <c r="F47" s="12">
        <v>91</v>
      </c>
      <c r="G47" s="13">
        <v>91</v>
      </c>
      <c r="H47" s="13">
        <v>88</v>
      </c>
      <c r="I47" s="14">
        <f t="shared" si="1"/>
        <v>91</v>
      </c>
      <c r="J47" s="11" t="s">
        <v>25</v>
      </c>
    </row>
    <row r="48" spans="1:10" ht="33.950000000000003" customHeight="1" x14ac:dyDescent="0.25">
      <c r="A48" s="11">
        <v>47</v>
      </c>
      <c r="B48" s="11" t="s">
        <v>117</v>
      </c>
      <c r="C48" s="11" t="s">
        <v>118</v>
      </c>
      <c r="D48" s="11" t="s">
        <v>23</v>
      </c>
      <c r="E48" s="11" t="s">
        <v>24</v>
      </c>
      <c r="F48" s="12">
        <v>91</v>
      </c>
      <c r="G48" s="13">
        <v>91</v>
      </c>
      <c r="H48" s="13">
        <v>88</v>
      </c>
      <c r="I48" s="14">
        <f t="shared" si="1"/>
        <v>91</v>
      </c>
      <c r="J48" s="11" t="s">
        <v>25</v>
      </c>
    </row>
    <row r="49" spans="1:10" ht="33.950000000000003" customHeight="1" x14ac:dyDescent="0.25">
      <c r="A49" s="11">
        <v>48</v>
      </c>
      <c r="B49" s="11" t="s">
        <v>119</v>
      </c>
      <c r="C49" s="11" t="s">
        <v>120</v>
      </c>
      <c r="D49" s="11" t="s">
        <v>63</v>
      </c>
      <c r="E49" s="11" t="s">
        <v>24</v>
      </c>
      <c r="F49" s="12">
        <v>91</v>
      </c>
      <c r="G49" s="13">
        <v>91</v>
      </c>
      <c r="H49" s="13">
        <v>88</v>
      </c>
      <c r="I49" s="14">
        <f t="shared" si="1"/>
        <v>91</v>
      </c>
      <c r="J49" s="11" t="s">
        <v>25</v>
      </c>
    </row>
    <row r="50" spans="1:10" ht="33.950000000000003" customHeight="1" x14ac:dyDescent="0.25">
      <c r="A50" s="11">
        <v>49</v>
      </c>
      <c r="B50" s="11" t="s">
        <v>121</v>
      </c>
      <c r="C50" s="11" t="s">
        <v>35</v>
      </c>
      <c r="D50" s="11" t="s">
        <v>122</v>
      </c>
      <c r="E50" s="11" t="s">
        <v>24</v>
      </c>
      <c r="F50" s="12">
        <v>91</v>
      </c>
      <c r="G50" s="13">
        <v>91</v>
      </c>
      <c r="H50" s="13">
        <v>88</v>
      </c>
      <c r="I50" s="14">
        <f t="shared" si="1"/>
        <v>91</v>
      </c>
      <c r="J50" s="11" t="s">
        <v>25</v>
      </c>
    </row>
    <row r="51" spans="1:10" ht="33.950000000000003" customHeight="1" x14ac:dyDescent="0.25">
      <c r="A51" s="11">
        <v>50</v>
      </c>
      <c r="B51" s="11" t="s">
        <v>123</v>
      </c>
      <c r="C51" s="11" t="s">
        <v>120</v>
      </c>
      <c r="D51" s="11" t="s">
        <v>124</v>
      </c>
      <c r="E51" s="11" t="s">
        <v>24</v>
      </c>
      <c r="F51" s="12">
        <v>90</v>
      </c>
      <c r="G51" s="13">
        <v>90</v>
      </c>
      <c r="H51" s="13">
        <v>87</v>
      </c>
      <c r="I51" s="14">
        <f t="shared" si="1"/>
        <v>90</v>
      </c>
      <c r="J51" s="11" t="s">
        <v>25</v>
      </c>
    </row>
    <row r="52" spans="1:10" ht="33.950000000000003" customHeight="1" x14ac:dyDescent="0.25">
      <c r="A52" s="15">
        <v>51</v>
      </c>
      <c r="B52" s="15" t="s">
        <v>125</v>
      </c>
      <c r="C52" s="15" t="s">
        <v>56</v>
      </c>
      <c r="D52" s="15" t="s">
        <v>126</v>
      </c>
      <c r="E52" s="15" t="s">
        <v>24</v>
      </c>
      <c r="F52" s="16">
        <v>89</v>
      </c>
      <c r="G52" s="17">
        <v>88</v>
      </c>
      <c r="H52" s="17">
        <v>86</v>
      </c>
      <c r="I52" s="18">
        <f t="shared" si="1"/>
        <v>88</v>
      </c>
      <c r="J52" s="15" t="s">
        <v>25</v>
      </c>
    </row>
    <row r="53" spans="1:10" ht="33.950000000000003" customHeight="1" x14ac:dyDescent="0.25">
      <c r="A53" s="19">
        <v>52</v>
      </c>
      <c r="B53" s="19" t="s">
        <v>127</v>
      </c>
      <c r="C53" s="19" t="s">
        <v>56</v>
      </c>
      <c r="D53" s="19" t="s">
        <v>128</v>
      </c>
      <c r="E53" s="19" t="s">
        <v>24</v>
      </c>
      <c r="F53" s="20">
        <v>89</v>
      </c>
      <c r="G53" s="21">
        <v>88</v>
      </c>
      <c r="H53" s="21">
        <v>86</v>
      </c>
      <c r="I53" s="22">
        <f t="shared" si="1"/>
        <v>88</v>
      </c>
      <c r="J53" s="19" t="s">
        <v>25</v>
      </c>
    </row>
    <row r="54" spans="1:10" ht="33.950000000000003" customHeight="1" x14ac:dyDescent="0.25">
      <c r="A54" s="15">
        <v>53</v>
      </c>
      <c r="B54" s="15" t="s">
        <v>129</v>
      </c>
      <c r="C54" s="15" t="s">
        <v>35</v>
      </c>
      <c r="D54" s="15" t="s">
        <v>23</v>
      </c>
      <c r="E54" s="15" t="s">
        <v>24</v>
      </c>
      <c r="F54" s="16">
        <v>89</v>
      </c>
      <c r="G54" s="17">
        <v>88</v>
      </c>
      <c r="H54" s="17">
        <v>86</v>
      </c>
      <c r="I54" s="18">
        <f t="shared" si="1"/>
        <v>88</v>
      </c>
      <c r="J54" s="15" t="s">
        <v>25</v>
      </c>
    </row>
    <row r="55" spans="1:10" ht="33.950000000000003" customHeight="1" x14ac:dyDescent="0.25">
      <c r="A55" s="19">
        <v>54</v>
      </c>
      <c r="B55" s="19" t="s">
        <v>130</v>
      </c>
      <c r="C55" s="19" t="s">
        <v>120</v>
      </c>
      <c r="D55" s="19" t="s">
        <v>131</v>
      </c>
      <c r="E55" s="19" t="s">
        <v>24</v>
      </c>
      <c r="F55" s="20">
        <v>89</v>
      </c>
      <c r="G55" s="21">
        <v>88</v>
      </c>
      <c r="H55" s="21">
        <v>86</v>
      </c>
      <c r="I55" s="22">
        <f t="shared" si="1"/>
        <v>88</v>
      </c>
      <c r="J55" s="19" t="s">
        <v>25</v>
      </c>
    </row>
    <row r="56" spans="1:10" ht="33.950000000000003" customHeight="1" x14ac:dyDescent="0.25">
      <c r="A56" s="15">
        <v>55</v>
      </c>
      <c r="B56" s="15" t="s">
        <v>132</v>
      </c>
      <c r="C56" s="15" t="s">
        <v>43</v>
      </c>
      <c r="D56" s="15" t="s">
        <v>99</v>
      </c>
      <c r="E56" s="15" t="s">
        <v>24</v>
      </c>
      <c r="F56" s="16">
        <v>89</v>
      </c>
      <c r="G56" s="17">
        <v>88</v>
      </c>
      <c r="H56" s="17">
        <v>86</v>
      </c>
      <c r="I56" s="18">
        <f t="shared" si="1"/>
        <v>88</v>
      </c>
      <c r="J56" s="15" t="s">
        <v>25</v>
      </c>
    </row>
    <row r="57" spans="1:10" ht="33.950000000000003" customHeight="1" x14ac:dyDescent="0.25">
      <c r="A57" s="19">
        <v>56</v>
      </c>
      <c r="B57" s="19" t="s">
        <v>133</v>
      </c>
      <c r="C57" s="19" t="s">
        <v>43</v>
      </c>
      <c r="D57" s="19" t="s">
        <v>101</v>
      </c>
      <c r="E57" s="19" t="s">
        <v>24</v>
      </c>
      <c r="F57" s="20">
        <v>89</v>
      </c>
      <c r="G57" s="21">
        <v>88</v>
      </c>
      <c r="H57" s="21">
        <v>86</v>
      </c>
      <c r="I57" s="22">
        <f t="shared" si="1"/>
        <v>88</v>
      </c>
      <c r="J57" s="19" t="s">
        <v>25</v>
      </c>
    </row>
    <row r="58" spans="1:10" ht="33.950000000000003" customHeight="1" x14ac:dyDescent="0.25">
      <c r="A58" s="15">
        <v>57</v>
      </c>
      <c r="B58" s="15" t="s">
        <v>134</v>
      </c>
      <c r="C58" s="15" t="s">
        <v>43</v>
      </c>
      <c r="D58" s="15" t="s">
        <v>101</v>
      </c>
      <c r="E58" s="15" t="s">
        <v>24</v>
      </c>
      <c r="F58" s="16">
        <v>89</v>
      </c>
      <c r="G58" s="17">
        <v>88</v>
      </c>
      <c r="H58" s="17">
        <v>86</v>
      </c>
      <c r="I58" s="18">
        <f t="shared" si="1"/>
        <v>88</v>
      </c>
      <c r="J58" s="15" t="s">
        <v>25</v>
      </c>
    </row>
    <row r="59" spans="1:10" ht="33.950000000000003" customHeight="1" x14ac:dyDescent="0.25">
      <c r="A59" s="19">
        <v>58</v>
      </c>
      <c r="B59" s="19" t="s">
        <v>135</v>
      </c>
      <c r="C59" s="19" t="s">
        <v>136</v>
      </c>
      <c r="D59" s="19" t="s">
        <v>137</v>
      </c>
      <c r="E59" s="19" t="s">
        <v>24</v>
      </c>
      <c r="F59" s="20">
        <v>89</v>
      </c>
      <c r="G59" s="21">
        <v>88</v>
      </c>
      <c r="H59" s="21">
        <v>86</v>
      </c>
      <c r="I59" s="22">
        <f t="shared" si="1"/>
        <v>88</v>
      </c>
      <c r="J59" s="19" t="s">
        <v>25</v>
      </c>
    </row>
    <row r="60" spans="1:10" ht="33.950000000000003" customHeight="1" x14ac:dyDescent="0.25">
      <c r="A60" s="15">
        <v>59</v>
      </c>
      <c r="B60" s="15" t="s">
        <v>138</v>
      </c>
      <c r="C60" s="15" t="s">
        <v>139</v>
      </c>
      <c r="D60" s="15" t="s">
        <v>140</v>
      </c>
      <c r="E60" s="15" t="s">
        <v>24</v>
      </c>
      <c r="F60" s="16">
        <v>89</v>
      </c>
      <c r="G60" s="17">
        <v>88</v>
      </c>
      <c r="H60" s="17">
        <v>86</v>
      </c>
      <c r="I60" s="18">
        <f t="shared" si="1"/>
        <v>88</v>
      </c>
      <c r="J60" s="15" t="s">
        <v>25</v>
      </c>
    </row>
    <row r="61" spans="1:10" ht="33.950000000000003" customHeight="1" x14ac:dyDescent="0.25">
      <c r="A61" s="19">
        <v>60</v>
      </c>
      <c r="B61" s="19" t="s">
        <v>141</v>
      </c>
      <c r="C61" s="19" t="s">
        <v>33</v>
      </c>
      <c r="D61" s="19" t="s">
        <v>28</v>
      </c>
      <c r="E61" s="19" t="s">
        <v>24</v>
      </c>
      <c r="F61" s="20">
        <v>89</v>
      </c>
      <c r="G61" s="21">
        <v>88</v>
      </c>
      <c r="H61" s="21">
        <v>86</v>
      </c>
      <c r="I61" s="22">
        <f t="shared" si="1"/>
        <v>88</v>
      </c>
      <c r="J61" s="19" t="s">
        <v>25</v>
      </c>
    </row>
    <row r="62" spans="1:10" ht="33.950000000000003" customHeight="1" x14ac:dyDescent="0.25">
      <c r="A62" s="15">
        <v>61</v>
      </c>
      <c r="B62" s="15" t="s">
        <v>142</v>
      </c>
      <c r="C62" s="15" t="s">
        <v>39</v>
      </c>
      <c r="D62" s="15" t="s">
        <v>143</v>
      </c>
      <c r="E62" s="15" t="s">
        <v>24</v>
      </c>
      <c r="F62" s="16">
        <v>89</v>
      </c>
      <c r="G62" s="17">
        <v>88</v>
      </c>
      <c r="H62" s="17">
        <v>86</v>
      </c>
      <c r="I62" s="18">
        <f t="shared" si="1"/>
        <v>88</v>
      </c>
      <c r="J62" s="15" t="s">
        <v>25</v>
      </c>
    </row>
    <row r="63" spans="1:10" ht="33.950000000000003" customHeight="1" x14ac:dyDescent="0.25">
      <c r="A63" s="19">
        <v>62</v>
      </c>
      <c r="B63" s="19" t="s">
        <v>144</v>
      </c>
      <c r="C63" s="19" t="s">
        <v>120</v>
      </c>
      <c r="D63" s="19" t="s">
        <v>145</v>
      </c>
      <c r="E63" s="19" t="s">
        <v>24</v>
      </c>
      <c r="F63" s="20">
        <v>89</v>
      </c>
      <c r="G63" s="21">
        <v>88</v>
      </c>
      <c r="H63" s="21">
        <v>86</v>
      </c>
      <c r="I63" s="22">
        <f t="shared" si="1"/>
        <v>88</v>
      </c>
      <c r="J63" s="19" t="s">
        <v>25</v>
      </c>
    </row>
    <row r="64" spans="1:10" ht="33.950000000000003" customHeight="1" x14ac:dyDescent="0.25">
      <c r="A64" s="15">
        <v>63</v>
      </c>
      <c r="B64" s="15" t="s">
        <v>146</v>
      </c>
      <c r="C64" s="15" t="s">
        <v>147</v>
      </c>
      <c r="D64" s="15" t="s">
        <v>148</v>
      </c>
      <c r="E64" s="15" t="s">
        <v>24</v>
      </c>
      <c r="F64" s="16">
        <v>89</v>
      </c>
      <c r="G64" s="17">
        <v>88</v>
      </c>
      <c r="H64" s="17">
        <v>86</v>
      </c>
      <c r="I64" s="18">
        <f t="shared" si="1"/>
        <v>88</v>
      </c>
      <c r="J64" s="15" t="s">
        <v>25</v>
      </c>
    </row>
    <row r="65" spans="1:10" ht="33.950000000000003" customHeight="1" x14ac:dyDescent="0.25">
      <c r="A65" s="19">
        <v>64</v>
      </c>
      <c r="B65" s="19" t="s">
        <v>149</v>
      </c>
      <c r="C65" s="19" t="s">
        <v>120</v>
      </c>
      <c r="D65" s="19" t="s">
        <v>150</v>
      </c>
      <c r="E65" s="19" t="s">
        <v>24</v>
      </c>
      <c r="F65" s="20">
        <v>88</v>
      </c>
      <c r="G65" s="21">
        <v>87</v>
      </c>
      <c r="H65" s="21">
        <v>85</v>
      </c>
      <c r="I65" s="22">
        <f t="shared" si="1"/>
        <v>87</v>
      </c>
      <c r="J65" s="19" t="s">
        <v>25</v>
      </c>
    </row>
    <row r="66" spans="1:10" ht="33.950000000000003" customHeight="1" x14ac:dyDescent="0.25">
      <c r="A66" s="15">
        <v>65</v>
      </c>
      <c r="B66" s="15" t="s">
        <v>151</v>
      </c>
      <c r="C66" s="15" t="s">
        <v>33</v>
      </c>
      <c r="D66" s="15" t="s">
        <v>87</v>
      </c>
      <c r="E66" s="15" t="s">
        <v>24</v>
      </c>
      <c r="F66" s="16">
        <v>88</v>
      </c>
      <c r="G66" s="17">
        <v>87</v>
      </c>
      <c r="H66" s="17">
        <v>85</v>
      </c>
      <c r="I66" s="18">
        <f t="shared" ref="I66:I97" si="2">ROUND(F66*0.55+G66*0.3+H66*0.15,0)</f>
        <v>87</v>
      </c>
      <c r="J66" s="15" t="s">
        <v>25</v>
      </c>
    </row>
    <row r="67" spans="1:10" ht="33.950000000000003" customHeight="1" x14ac:dyDescent="0.25">
      <c r="A67" s="19">
        <v>66</v>
      </c>
      <c r="B67" s="19" t="s">
        <v>152</v>
      </c>
      <c r="C67" s="19" t="s">
        <v>86</v>
      </c>
      <c r="D67" s="19" t="s">
        <v>28</v>
      </c>
      <c r="E67" s="19" t="s">
        <v>24</v>
      </c>
      <c r="F67" s="20">
        <v>88</v>
      </c>
      <c r="G67" s="21">
        <v>87</v>
      </c>
      <c r="H67" s="21">
        <v>85</v>
      </c>
      <c r="I67" s="22">
        <f t="shared" si="2"/>
        <v>87</v>
      </c>
      <c r="J67" s="19" t="s">
        <v>25</v>
      </c>
    </row>
    <row r="68" spans="1:10" ht="33.950000000000003" customHeight="1" x14ac:dyDescent="0.25">
      <c r="A68" s="15">
        <v>67</v>
      </c>
      <c r="B68" s="15" t="s">
        <v>153</v>
      </c>
      <c r="C68" s="15" t="s">
        <v>154</v>
      </c>
      <c r="D68" s="15" t="s">
        <v>155</v>
      </c>
      <c r="E68" s="15" t="s">
        <v>24</v>
      </c>
      <c r="F68" s="16">
        <v>88</v>
      </c>
      <c r="G68" s="17">
        <v>87</v>
      </c>
      <c r="H68" s="17">
        <v>85</v>
      </c>
      <c r="I68" s="18">
        <f t="shared" si="2"/>
        <v>87</v>
      </c>
      <c r="J68" s="15" t="s">
        <v>25</v>
      </c>
    </row>
    <row r="69" spans="1:10" ht="33.950000000000003" customHeight="1" x14ac:dyDescent="0.25">
      <c r="A69" s="19">
        <v>68</v>
      </c>
      <c r="B69" s="19" t="s">
        <v>156</v>
      </c>
      <c r="C69" s="19" t="s">
        <v>157</v>
      </c>
      <c r="D69" s="19" t="s">
        <v>158</v>
      </c>
      <c r="E69" s="19" t="s">
        <v>24</v>
      </c>
      <c r="F69" s="20">
        <v>88</v>
      </c>
      <c r="G69" s="21">
        <v>87</v>
      </c>
      <c r="H69" s="21">
        <v>85</v>
      </c>
      <c r="I69" s="22">
        <f t="shared" si="2"/>
        <v>87</v>
      </c>
      <c r="J69" s="19" t="s">
        <v>25</v>
      </c>
    </row>
    <row r="70" spans="1:10" ht="33.950000000000003" customHeight="1" x14ac:dyDescent="0.25">
      <c r="A70" s="15">
        <v>69</v>
      </c>
      <c r="B70" s="15" t="s">
        <v>159</v>
      </c>
      <c r="C70" s="15" t="s">
        <v>56</v>
      </c>
      <c r="D70" s="15" t="s">
        <v>23</v>
      </c>
      <c r="E70" s="15" t="s">
        <v>24</v>
      </c>
      <c r="F70" s="16">
        <v>88</v>
      </c>
      <c r="G70" s="17">
        <v>87</v>
      </c>
      <c r="H70" s="17">
        <v>85</v>
      </c>
      <c r="I70" s="18">
        <f t="shared" si="2"/>
        <v>87</v>
      </c>
      <c r="J70" s="15" t="s">
        <v>25</v>
      </c>
    </row>
    <row r="71" spans="1:10" ht="33.950000000000003" customHeight="1" x14ac:dyDescent="0.25">
      <c r="A71" s="19">
        <v>70</v>
      </c>
      <c r="B71" s="19" t="s">
        <v>160</v>
      </c>
      <c r="C71" s="19" t="s">
        <v>89</v>
      </c>
      <c r="D71" s="19" t="s">
        <v>148</v>
      </c>
      <c r="E71" s="19" t="s">
        <v>24</v>
      </c>
      <c r="F71" s="20">
        <v>88</v>
      </c>
      <c r="G71" s="21">
        <v>87</v>
      </c>
      <c r="H71" s="21">
        <v>85</v>
      </c>
      <c r="I71" s="22">
        <f t="shared" si="2"/>
        <v>87</v>
      </c>
      <c r="J71" s="19" t="s">
        <v>25</v>
      </c>
    </row>
    <row r="72" spans="1:10" ht="33.950000000000003" customHeight="1" x14ac:dyDescent="0.25">
      <c r="A72" s="15">
        <v>71</v>
      </c>
      <c r="B72" s="15" t="s">
        <v>161</v>
      </c>
      <c r="C72" s="15" t="s">
        <v>33</v>
      </c>
      <c r="D72" s="15" t="s">
        <v>162</v>
      </c>
      <c r="E72" s="15" t="s">
        <v>24</v>
      </c>
      <c r="F72" s="16">
        <v>88</v>
      </c>
      <c r="G72" s="17">
        <v>87</v>
      </c>
      <c r="H72" s="17">
        <v>85</v>
      </c>
      <c r="I72" s="18">
        <f t="shared" si="2"/>
        <v>87</v>
      </c>
      <c r="J72" s="15" t="s">
        <v>25</v>
      </c>
    </row>
    <row r="73" spans="1:10" ht="33.950000000000003" customHeight="1" x14ac:dyDescent="0.25">
      <c r="A73" s="19">
        <v>72</v>
      </c>
      <c r="B73" s="19" t="s">
        <v>163</v>
      </c>
      <c r="C73" s="19" t="s">
        <v>82</v>
      </c>
      <c r="D73" s="19" t="s">
        <v>23</v>
      </c>
      <c r="E73" s="19" t="s">
        <v>24</v>
      </c>
      <c r="F73" s="20">
        <v>88</v>
      </c>
      <c r="G73" s="21">
        <v>87</v>
      </c>
      <c r="H73" s="21">
        <v>85</v>
      </c>
      <c r="I73" s="22">
        <f t="shared" si="2"/>
        <v>87</v>
      </c>
      <c r="J73" s="19" t="s">
        <v>25</v>
      </c>
    </row>
    <row r="74" spans="1:10" ht="33.950000000000003" customHeight="1" x14ac:dyDescent="0.25">
      <c r="A74" s="15">
        <v>73</v>
      </c>
      <c r="B74" s="15" t="s">
        <v>164</v>
      </c>
      <c r="C74" s="15" t="s">
        <v>82</v>
      </c>
      <c r="D74" s="15" t="s">
        <v>23</v>
      </c>
      <c r="E74" s="15" t="s">
        <v>24</v>
      </c>
      <c r="F74" s="16">
        <v>88</v>
      </c>
      <c r="G74" s="17">
        <v>87</v>
      </c>
      <c r="H74" s="17">
        <v>85</v>
      </c>
      <c r="I74" s="18">
        <f t="shared" si="2"/>
        <v>87</v>
      </c>
      <c r="J74" s="15" t="s">
        <v>25</v>
      </c>
    </row>
    <row r="75" spans="1:10" ht="33.950000000000003" customHeight="1" x14ac:dyDescent="0.25">
      <c r="A75" s="19">
        <v>74</v>
      </c>
      <c r="B75" s="19" t="s">
        <v>165</v>
      </c>
      <c r="C75" s="19" t="s">
        <v>43</v>
      </c>
      <c r="D75" s="19" t="s">
        <v>166</v>
      </c>
      <c r="E75" s="19" t="s">
        <v>24</v>
      </c>
      <c r="F75" s="20">
        <v>88</v>
      </c>
      <c r="G75" s="21">
        <v>87</v>
      </c>
      <c r="H75" s="21">
        <v>85</v>
      </c>
      <c r="I75" s="22">
        <f t="shared" si="2"/>
        <v>87</v>
      </c>
      <c r="J75" s="19" t="s">
        <v>25</v>
      </c>
    </row>
    <row r="76" spans="1:10" ht="33.950000000000003" customHeight="1" x14ac:dyDescent="0.25">
      <c r="A76" s="15">
        <v>75</v>
      </c>
      <c r="B76" s="15" t="s">
        <v>167</v>
      </c>
      <c r="C76" s="15" t="s">
        <v>43</v>
      </c>
      <c r="D76" s="15" t="s">
        <v>65</v>
      </c>
      <c r="E76" s="15" t="s">
        <v>24</v>
      </c>
      <c r="F76" s="16">
        <v>88</v>
      </c>
      <c r="G76" s="17">
        <v>87</v>
      </c>
      <c r="H76" s="17">
        <v>85</v>
      </c>
      <c r="I76" s="18">
        <f t="shared" si="2"/>
        <v>87</v>
      </c>
      <c r="J76" s="15" t="s">
        <v>25</v>
      </c>
    </row>
    <row r="77" spans="1:10" ht="33.950000000000003" customHeight="1" x14ac:dyDescent="0.25">
      <c r="A77" s="19">
        <v>76</v>
      </c>
      <c r="B77" s="19" t="s">
        <v>168</v>
      </c>
      <c r="C77" s="19" t="s">
        <v>120</v>
      </c>
      <c r="D77" s="19" t="s">
        <v>169</v>
      </c>
      <c r="E77" s="19" t="s">
        <v>24</v>
      </c>
      <c r="F77" s="20">
        <v>88</v>
      </c>
      <c r="G77" s="21">
        <v>87</v>
      </c>
      <c r="H77" s="21">
        <v>85</v>
      </c>
      <c r="I77" s="22">
        <f t="shared" si="2"/>
        <v>87</v>
      </c>
      <c r="J77" s="19" t="s">
        <v>25</v>
      </c>
    </row>
    <row r="78" spans="1:10" ht="33.950000000000003" customHeight="1" x14ac:dyDescent="0.25">
      <c r="A78" s="15">
        <v>77</v>
      </c>
      <c r="B78" s="15" t="s">
        <v>170</v>
      </c>
      <c r="C78" s="15" t="s">
        <v>43</v>
      </c>
      <c r="D78" s="15" t="s">
        <v>171</v>
      </c>
      <c r="E78" s="15" t="s">
        <v>24</v>
      </c>
      <c r="F78" s="16">
        <v>87</v>
      </c>
      <c r="G78" s="17">
        <v>86</v>
      </c>
      <c r="H78" s="17">
        <v>84</v>
      </c>
      <c r="I78" s="18">
        <f t="shared" si="2"/>
        <v>86</v>
      </c>
      <c r="J78" s="15" t="s">
        <v>25</v>
      </c>
    </row>
    <row r="79" spans="1:10" ht="33.950000000000003" customHeight="1" x14ac:dyDescent="0.25">
      <c r="A79" s="19">
        <v>78</v>
      </c>
      <c r="B79" s="19" t="s">
        <v>172</v>
      </c>
      <c r="C79" s="19" t="s">
        <v>173</v>
      </c>
      <c r="D79" s="19" t="s">
        <v>28</v>
      </c>
      <c r="E79" s="19" t="s">
        <v>24</v>
      </c>
      <c r="F79" s="20">
        <v>87</v>
      </c>
      <c r="G79" s="21">
        <v>86</v>
      </c>
      <c r="H79" s="21">
        <v>84</v>
      </c>
      <c r="I79" s="22">
        <f t="shared" si="2"/>
        <v>86</v>
      </c>
      <c r="J79" s="19" t="s">
        <v>25</v>
      </c>
    </row>
    <row r="80" spans="1:10" ht="33.950000000000003" customHeight="1" x14ac:dyDescent="0.25">
      <c r="A80" s="15">
        <v>79</v>
      </c>
      <c r="B80" s="15" t="s">
        <v>174</v>
      </c>
      <c r="C80" s="15" t="s">
        <v>173</v>
      </c>
      <c r="D80" s="15" t="s">
        <v>28</v>
      </c>
      <c r="E80" s="15" t="s">
        <v>24</v>
      </c>
      <c r="F80" s="16">
        <v>87</v>
      </c>
      <c r="G80" s="17">
        <v>86</v>
      </c>
      <c r="H80" s="17">
        <v>84</v>
      </c>
      <c r="I80" s="18">
        <f t="shared" si="2"/>
        <v>86</v>
      </c>
      <c r="J80" s="15" t="s">
        <v>25</v>
      </c>
    </row>
    <row r="81" spans="1:10" ht="33.950000000000003" customHeight="1" x14ac:dyDescent="0.25">
      <c r="A81" s="19">
        <v>80</v>
      </c>
      <c r="B81" s="19" t="s">
        <v>175</v>
      </c>
      <c r="C81" s="19" t="s">
        <v>61</v>
      </c>
      <c r="D81" s="19" t="s">
        <v>28</v>
      </c>
      <c r="E81" s="19" t="s">
        <v>24</v>
      </c>
      <c r="F81" s="20">
        <v>87</v>
      </c>
      <c r="G81" s="21">
        <v>86</v>
      </c>
      <c r="H81" s="21">
        <v>84</v>
      </c>
      <c r="I81" s="22">
        <f t="shared" si="2"/>
        <v>86</v>
      </c>
      <c r="J81" s="19" t="s">
        <v>25</v>
      </c>
    </row>
    <row r="82" spans="1:10" ht="33.950000000000003" customHeight="1" x14ac:dyDescent="0.25">
      <c r="A82" s="15">
        <v>81</v>
      </c>
      <c r="B82" s="15" t="s">
        <v>176</v>
      </c>
      <c r="C82" s="15" t="s">
        <v>120</v>
      </c>
      <c r="D82" s="15" t="s">
        <v>177</v>
      </c>
      <c r="E82" s="15" t="s">
        <v>24</v>
      </c>
      <c r="F82" s="16">
        <v>86</v>
      </c>
      <c r="G82" s="17">
        <v>86</v>
      </c>
      <c r="H82" s="17">
        <v>92</v>
      </c>
      <c r="I82" s="18">
        <f t="shared" si="2"/>
        <v>87</v>
      </c>
      <c r="J82" s="15" t="s">
        <v>25</v>
      </c>
    </row>
    <row r="83" spans="1:10" ht="33.950000000000003" customHeight="1" x14ac:dyDescent="0.25">
      <c r="A83" s="19">
        <v>82</v>
      </c>
      <c r="B83" s="19" t="s">
        <v>178</v>
      </c>
      <c r="C83" s="19" t="s">
        <v>22</v>
      </c>
      <c r="D83" s="19" t="s">
        <v>179</v>
      </c>
      <c r="E83" s="19" t="s">
        <v>24</v>
      </c>
      <c r="F83" s="20">
        <v>86</v>
      </c>
      <c r="G83" s="21">
        <v>86</v>
      </c>
      <c r="H83" s="21">
        <v>92</v>
      </c>
      <c r="I83" s="22">
        <f t="shared" si="2"/>
        <v>87</v>
      </c>
      <c r="J83" s="19" t="s">
        <v>25</v>
      </c>
    </row>
    <row r="84" spans="1:10" ht="33.950000000000003" customHeight="1" x14ac:dyDescent="0.25">
      <c r="A84" s="15">
        <v>83</v>
      </c>
      <c r="B84" s="15" t="s">
        <v>180</v>
      </c>
      <c r="C84" s="15" t="s">
        <v>56</v>
      </c>
      <c r="D84" s="15" t="s">
        <v>28</v>
      </c>
      <c r="E84" s="15" t="s">
        <v>24</v>
      </c>
      <c r="F84" s="16">
        <v>86</v>
      </c>
      <c r="G84" s="17">
        <v>86</v>
      </c>
      <c r="H84" s="17">
        <v>92</v>
      </c>
      <c r="I84" s="18">
        <f t="shared" si="2"/>
        <v>87</v>
      </c>
      <c r="J84" s="15" t="s">
        <v>25</v>
      </c>
    </row>
    <row r="85" spans="1:10" ht="33.950000000000003" customHeight="1" x14ac:dyDescent="0.25">
      <c r="A85" s="19">
        <v>84</v>
      </c>
      <c r="B85" s="19" t="s">
        <v>181</v>
      </c>
      <c r="C85" s="19" t="s">
        <v>61</v>
      </c>
      <c r="D85" s="19" t="s">
        <v>28</v>
      </c>
      <c r="E85" s="19" t="s">
        <v>24</v>
      </c>
      <c r="F85" s="20">
        <v>86</v>
      </c>
      <c r="G85" s="21">
        <v>86</v>
      </c>
      <c r="H85" s="21">
        <v>92</v>
      </c>
      <c r="I85" s="22">
        <f t="shared" si="2"/>
        <v>87</v>
      </c>
      <c r="J85" s="19" t="s">
        <v>25</v>
      </c>
    </row>
    <row r="86" spans="1:10" ht="33.950000000000003" customHeight="1" x14ac:dyDescent="0.25">
      <c r="A86" s="15">
        <v>85</v>
      </c>
      <c r="B86" s="15" t="s">
        <v>182</v>
      </c>
      <c r="C86" s="15" t="s">
        <v>173</v>
      </c>
      <c r="D86" s="15" t="s">
        <v>28</v>
      </c>
      <c r="E86" s="15" t="s">
        <v>24</v>
      </c>
      <c r="F86" s="16">
        <v>86</v>
      </c>
      <c r="G86" s="17">
        <v>86</v>
      </c>
      <c r="H86" s="17">
        <v>92</v>
      </c>
      <c r="I86" s="18">
        <f t="shared" si="2"/>
        <v>87</v>
      </c>
      <c r="J86" s="15" t="s">
        <v>25</v>
      </c>
    </row>
    <row r="87" spans="1:10" ht="33.950000000000003" customHeight="1" x14ac:dyDescent="0.25">
      <c r="A87" s="19">
        <v>86</v>
      </c>
      <c r="B87" s="19" t="s">
        <v>183</v>
      </c>
      <c r="C87" s="19" t="s">
        <v>35</v>
      </c>
      <c r="D87" s="19" t="s">
        <v>28</v>
      </c>
      <c r="E87" s="19" t="s">
        <v>24</v>
      </c>
      <c r="F87" s="20">
        <v>86</v>
      </c>
      <c r="G87" s="21">
        <v>86</v>
      </c>
      <c r="H87" s="21">
        <v>92</v>
      </c>
      <c r="I87" s="22">
        <f t="shared" si="2"/>
        <v>87</v>
      </c>
      <c r="J87" s="19" t="s">
        <v>25</v>
      </c>
    </row>
    <row r="88" spans="1:10" ht="33.950000000000003" customHeight="1" x14ac:dyDescent="0.25">
      <c r="A88" s="15">
        <v>87</v>
      </c>
      <c r="B88" s="15" t="s">
        <v>184</v>
      </c>
      <c r="C88" s="15" t="s">
        <v>93</v>
      </c>
      <c r="D88" s="15" t="s">
        <v>28</v>
      </c>
      <c r="E88" s="15" t="s">
        <v>24</v>
      </c>
      <c r="F88" s="16">
        <v>86</v>
      </c>
      <c r="G88" s="17">
        <v>86</v>
      </c>
      <c r="H88" s="17">
        <v>92</v>
      </c>
      <c r="I88" s="18">
        <f t="shared" si="2"/>
        <v>87</v>
      </c>
      <c r="J88" s="15" t="s">
        <v>25</v>
      </c>
    </row>
    <row r="89" spans="1:10" ht="33.950000000000003" customHeight="1" x14ac:dyDescent="0.25">
      <c r="A89" s="19">
        <v>88</v>
      </c>
      <c r="B89" s="19" t="s">
        <v>185</v>
      </c>
      <c r="C89" s="19" t="s">
        <v>43</v>
      </c>
      <c r="D89" s="19" t="s">
        <v>23</v>
      </c>
      <c r="E89" s="19" t="s">
        <v>24</v>
      </c>
      <c r="F89" s="20">
        <v>86</v>
      </c>
      <c r="G89" s="21">
        <v>86</v>
      </c>
      <c r="H89" s="21">
        <v>92</v>
      </c>
      <c r="I89" s="22">
        <f t="shared" si="2"/>
        <v>87</v>
      </c>
      <c r="J89" s="19" t="s">
        <v>25</v>
      </c>
    </row>
    <row r="90" spans="1:10" ht="33.950000000000003" customHeight="1" x14ac:dyDescent="0.25">
      <c r="A90" s="15">
        <v>89</v>
      </c>
      <c r="B90" s="15" t="s">
        <v>186</v>
      </c>
      <c r="C90" s="15" t="s">
        <v>35</v>
      </c>
      <c r="D90" s="15" t="s">
        <v>23</v>
      </c>
      <c r="E90" s="15" t="s">
        <v>24</v>
      </c>
      <c r="F90" s="16">
        <v>86</v>
      </c>
      <c r="G90" s="17">
        <v>86</v>
      </c>
      <c r="H90" s="17">
        <v>92</v>
      </c>
      <c r="I90" s="18">
        <f t="shared" si="2"/>
        <v>87</v>
      </c>
      <c r="J90" s="15" t="s">
        <v>25</v>
      </c>
    </row>
    <row r="91" spans="1:10" ht="33.950000000000003" customHeight="1" x14ac:dyDescent="0.25">
      <c r="A91" s="19">
        <v>90</v>
      </c>
      <c r="B91" s="19" t="s">
        <v>187</v>
      </c>
      <c r="C91" s="19" t="s">
        <v>33</v>
      </c>
      <c r="D91" s="19" t="s">
        <v>23</v>
      </c>
      <c r="E91" s="19" t="s">
        <v>24</v>
      </c>
      <c r="F91" s="20">
        <v>85</v>
      </c>
      <c r="G91" s="21">
        <v>85</v>
      </c>
      <c r="H91" s="21">
        <v>91</v>
      </c>
      <c r="I91" s="22">
        <f t="shared" si="2"/>
        <v>86</v>
      </c>
      <c r="J91" s="19" t="s">
        <v>25</v>
      </c>
    </row>
    <row r="92" spans="1:10" ht="33.950000000000003" customHeight="1" x14ac:dyDescent="0.25">
      <c r="A92" s="15">
        <v>91</v>
      </c>
      <c r="B92" s="15" t="s">
        <v>188</v>
      </c>
      <c r="C92" s="15" t="s">
        <v>136</v>
      </c>
      <c r="D92" s="15" t="s">
        <v>23</v>
      </c>
      <c r="E92" s="15" t="s">
        <v>24</v>
      </c>
      <c r="F92" s="16">
        <v>85</v>
      </c>
      <c r="G92" s="17">
        <v>85</v>
      </c>
      <c r="H92" s="17">
        <v>91</v>
      </c>
      <c r="I92" s="18">
        <f t="shared" si="2"/>
        <v>86</v>
      </c>
      <c r="J92" s="15" t="s">
        <v>25</v>
      </c>
    </row>
    <row r="93" spans="1:10" ht="33.950000000000003" customHeight="1" x14ac:dyDescent="0.25">
      <c r="A93" s="19">
        <v>92</v>
      </c>
      <c r="B93" s="19" t="s">
        <v>189</v>
      </c>
      <c r="C93" s="19" t="s">
        <v>43</v>
      </c>
      <c r="D93" s="19" t="s">
        <v>190</v>
      </c>
      <c r="E93" s="19" t="s">
        <v>24</v>
      </c>
      <c r="F93" s="20">
        <v>85</v>
      </c>
      <c r="G93" s="21">
        <v>85</v>
      </c>
      <c r="H93" s="21">
        <v>91</v>
      </c>
      <c r="I93" s="22">
        <f t="shared" si="2"/>
        <v>86</v>
      </c>
      <c r="J93" s="19" t="s">
        <v>25</v>
      </c>
    </row>
    <row r="94" spans="1:10" ht="33.950000000000003" customHeight="1" x14ac:dyDescent="0.25">
      <c r="A94" s="15">
        <v>93</v>
      </c>
      <c r="B94" s="15" t="s">
        <v>191</v>
      </c>
      <c r="C94" s="15" t="s">
        <v>192</v>
      </c>
      <c r="D94" s="15" t="s">
        <v>193</v>
      </c>
      <c r="E94" s="15" t="s">
        <v>24</v>
      </c>
      <c r="F94" s="16">
        <v>85</v>
      </c>
      <c r="G94" s="17">
        <v>85</v>
      </c>
      <c r="H94" s="17">
        <v>91</v>
      </c>
      <c r="I94" s="18">
        <f t="shared" si="2"/>
        <v>86</v>
      </c>
      <c r="J94" s="15" t="s">
        <v>25</v>
      </c>
    </row>
    <row r="95" spans="1:10" ht="33.950000000000003" customHeight="1" x14ac:dyDescent="0.25">
      <c r="A95" s="19">
        <v>94</v>
      </c>
      <c r="B95" s="19" t="s">
        <v>194</v>
      </c>
      <c r="C95" s="19" t="s">
        <v>43</v>
      </c>
      <c r="D95" s="19" t="s">
        <v>195</v>
      </c>
      <c r="E95" s="19" t="s">
        <v>24</v>
      </c>
      <c r="F95" s="20">
        <v>85</v>
      </c>
      <c r="G95" s="21">
        <v>85</v>
      </c>
      <c r="H95" s="21">
        <v>91</v>
      </c>
      <c r="I95" s="22">
        <f t="shared" si="2"/>
        <v>86</v>
      </c>
      <c r="J95" s="19" t="s">
        <v>25</v>
      </c>
    </row>
    <row r="96" spans="1:10" ht="33.950000000000003" customHeight="1" x14ac:dyDescent="0.25">
      <c r="A96" s="15">
        <v>95</v>
      </c>
      <c r="B96" s="15" t="s">
        <v>196</v>
      </c>
      <c r="C96" s="15" t="s">
        <v>43</v>
      </c>
      <c r="D96" s="15" t="s">
        <v>197</v>
      </c>
      <c r="E96" s="15" t="s">
        <v>24</v>
      </c>
      <c r="F96" s="16">
        <v>85</v>
      </c>
      <c r="G96" s="17">
        <v>85</v>
      </c>
      <c r="H96" s="17">
        <v>91</v>
      </c>
      <c r="I96" s="18">
        <f t="shared" si="2"/>
        <v>86</v>
      </c>
      <c r="J96" s="15" t="s">
        <v>25</v>
      </c>
    </row>
    <row r="97" spans="1:10" ht="33.950000000000003" customHeight="1" x14ac:dyDescent="0.25">
      <c r="A97" s="19">
        <v>96</v>
      </c>
      <c r="B97" s="19" t="s">
        <v>198</v>
      </c>
      <c r="C97" s="19" t="s">
        <v>120</v>
      </c>
      <c r="D97" s="19" t="s">
        <v>199</v>
      </c>
      <c r="E97" s="19" t="s">
        <v>24</v>
      </c>
      <c r="F97" s="20">
        <v>85</v>
      </c>
      <c r="G97" s="21">
        <v>85</v>
      </c>
      <c r="H97" s="21">
        <v>91</v>
      </c>
      <c r="I97" s="22">
        <f t="shared" si="2"/>
        <v>86</v>
      </c>
      <c r="J97" s="19" t="s">
        <v>25</v>
      </c>
    </row>
    <row r="98" spans="1:10" ht="33.950000000000003" customHeight="1" x14ac:dyDescent="0.25">
      <c r="A98" s="15">
        <v>97</v>
      </c>
      <c r="B98" s="15" t="s">
        <v>200</v>
      </c>
      <c r="C98" s="15" t="s">
        <v>201</v>
      </c>
      <c r="D98" s="15" t="s">
        <v>199</v>
      </c>
      <c r="E98" s="15" t="s">
        <v>24</v>
      </c>
      <c r="F98" s="16">
        <v>85</v>
      </c>
      <c r="G98" s="17">
        <v>85</v>
      </c>
      <c r="H98" s="17">
        <v>91</v>
      </c>
      <c r="I98" s="18">
        <f t="shared" ref="I98:I129" si="3">ROUND(F98*0.55+G98*0.3+H98*0.15,0)</f>
        <v>86</v>
      </c>
      <c r="J98" s="15" t="s">
        <v>25</v>
      </c>
    </row>
    <row r="99" spans="1:10" ht="33.950000000000003" customHeight="1" x14ac:dyDescent="0.25">
      <c r="A99" s="19">
        <v>98</v>
      </c>
      <c r="B99" s="19" t="s">
        <v>202</v>
      </c>
      <c r="C99" s="19" t="s">
        <v>56</v>
      </c>
      <c r="D99" s="19" t="s">
        <v>199</v>
      </c>
      <c r="E99" s="19" t="s">
        <v>24</v>
      </c>
      <c r="F99" s="20">
        <v>85</v>
      </c>
      <c r="G99" s="21">
        <v>85</v>
      </c>
      <c r="H99" s="21">
        <v>91</v>
      </c>
      <c r="I99" s="22">
        <f t="shared" si="3"/>
        <v>86</v>
      </c>
      <c r="J99" s="19" t="s">
        <v>25</v>
      </c>
    </row>
    <row r="100" spans="1:10" ht="33.950000000000003" customHeight="1" x14ac:dyDescent="0.25">
      <c r="A100" s="15">
        <v>99</v>
      </c>
      <c r="B100" s="15" t="s">
        <v>203</v>
      </c>
      <c r="C100" s="15" t="s">
        <v>78</v>
      </c>
      <c r="D100" s="15" t="s">
        <v>204</v>
      </c>
      <c r="E100" s="15" t="s">
        <v>24</v>
      </c>
      <c r="F100" s="16">
        <v>85</v>
      </c>
      <c r="G100" s="17">
        <v>85</v>
      </c>
      <c r="H100" s="17">
        <v>91</v>
      </c>
      <c r="I100" s="18">
        <f t="shared" si="3"/>
        <v>86</v>
      </c>
      <c r="J100" s="15" t="s">
        <v>25</v>
      </c>
    </row>
    <row r="101" spans="1:10" ht="33.950000000000003" customHeight="1" x14ac:dyDescent="0.25">
      <c r="A101" s="19">
        <v>100</v>
      </c>
      <c r="B101" s="19" t="s">
        <v>205</v>
      </c>
      <c r="C101" s="19" t="s">
        <v>206</v>
      </c>
      <c r="D101" s="19" t="s">
        <v>207</v>
      </c>
      <c r="E101" s="19" t="s">
        <v>24</v>
      </c>
      <c r="F101" s="20">
        <v>85</v>
      </c>
      <c r="G101" s="21">
        <v>85</v>
      </c>
      <c r="H101" s="21">
        <v>91</v>
      </c>
      <c r="I101" s="22">
        <f t="shared" si="3"/>
        <v>86</v>
      </c>
      <c r="J101" s="19" t="s">
        <v>25</v>
      </c>
    </row>
    <row r="102" spans="1:10" ht="33.950000000000003" customHeight="1" x14ac:dyDescent="0.25">
      <c r="A102" s="15">
        <v>101</v>
      </c>
      <c r="B102" s="15" t="s">
        <v>208</v>
      </c>
      <c r="C102" s="15" t="s">
        <v>209</v>
      </c>
      <c r="D102" s="15" t="s">
        <v>210</v>
      </c>
      <c r="E102" s="15" t="s">
        <v>24</v>
      </c>
      <c r="F102" s="16">
        <v>84</v>
      </c>
      <c r="G102" s="17">
        <v>84</v>
      </c>
      <c r="H102" s="17">
        <v>90</v>
      </c>
      <c r="I102" s="18">
        <f t="shared" si="3"/>
        <v>85</v>
      </c>
      <c r="J102" s="15" t="s">
        <v>25</v>
      </c>
    </row>
    <row r="103" spans="1:10" ht="33.950000000000003" customHeight="1" x14ac:dyDescent="0.25">
      <c r="A103" s="19">
        <v>102</v>
      </c>
      <c r="B103" s="19" t="s">
        <v>211</v>
      </c>
      <c r="C103" s="19" t="s">
        <v>82</v>
      </c>
      <c r="D103" s="19" t="s">
        <v>212</v>
      </c>
      <c r="E103" s="19" t="s">
        <v>24</v>
      </c>
      <c r="F103" s="20">
        <v>84</v>
      </c>
      <c r="G103" s="21">
        <v>84</v>
      </c>
      <c r="H103" s="21">
        <v>90</v>
      </c>
      <c r="I103" s="22">
        <f t="shared" si="3"/>
        <v>85</v>
      </c>
      <c r="J103" s="19" t="s">
        <v>25</v>
      </c>
    </row>
    <row r="104" spans="1:10" ht="33.950000000000003" customHeight="1" x14ac:dyDescent="0.25">
      <c r="A104" s="15">
        <v>103</v>
      </c>
      <c r="B104" s="15" t="s">
        <v>213</v>
      </c>
      <c r="C104" s="15" t="s">
        <v>86</v>
      </c>
      <c r="D104" s="15" t="s">
        <v>128</v>
      </c>
      <c r="E104" s="15" t="s">
        <v>24</v>
      </c>
      <c r="F104" s="16">
        <v>84</v>
      </c>
      <c r="G104" s="17">
        <v>84</v>
      </c>
      <c r="H104" s="17">
        <v>90</v>
      </c>
      <c r="I104" s="18">
        <f t="shared" si="3"/>
        <v>85</v>
      </c>
      <c r="J104" s="15" t="s">
        <v>25</v>
      </c>
    </row>
    <row r="105" spans="1:10" ht="33.950000000000003" customHeight="1" x14ac:dyDescent="0.25">
      <c r="A105" s="19">
        <v>104</v>
      </c>
      <c r="B105" s="19" t="s">
        <v>214</v>
      </c>
      <c r="C105" s="19" t="s">
        <v>53</v>
      </c>
      <c r="D105" s="19" t="s">
        <v>215</v>
      </c>
      <c r="E105" s="19" t="s">
        <v>24</v>
      </c>
      <c r="F105" s="20">
        <v>84</v>
      </c>
      <c r="G105" s="21">
        <v>84</v>
      </c>
      <c r="H105" s="21">
        <v>90</v>
      </c>
      <c r="I105" s="22">
        <f t="shared" si="3"/>
        <v>85</v>
      </c>
      <c r="J105" s="19" t="s">
        <v>25</v>
      </c>
    </row>
    <row r="106" spans="1:10" ht="33.950000000000003" customHeight="1" x14ac:dyDescent="0.25">
      <c r="A106" s="15">
        <v>105</v>
      </c>
      <c r="B106" s="15" t="s">
        <v>216</v>
      </c>
      <c r="C106" s="15" t="s">
        <v>53</v>
      </c>
      <c r="D106" s="15" t="s">
        <v>217</v>
      </c>
      <c r="E106" s="15" t="s">
        <v>24</v>
      </c>
      <c r="F106" s="16">
        <v>84</v>
      </c>
      <c r="G106" s="17">
        <v>84</v>
      </c>
      <c r="H106" s="17">
        <v>90</v>
      </c>
      <c r="I106" s="18">
        <f t="shared" si="3"/>
        <v>85</v>
      </c>
      <c r="J106" s="15" t="s">
        <v>25</v>
      </c>
    </row>
    <row r="107" spans="1:10" ht="33.950000000000003" customHeight="1" x14ac:dyDescent="0.25">
      <c r="A107" s="19">
        <v>106</v>
      </c>
      <c r="B107" s="19" t="s">
        <v>218</v>
      </c>
      <c r="C107" s="19" t="s">
        <v>53</v>
      </c>
      <c r="D107" s="19" t="s">
        <v>51</v>
      </c>
      <c r="E107" s="19" t="s">
        <v>24</v>
      </c>
      <c r="F107" s="20">
        <v>84</v>
      </c>
      <c r="G107" s="21">
        <v>84</v>
      </c>
      <c r="H107" s="21">
        <v>90</v>
      </c>
      <c r="I107" s="22">
        <f t="shared" si="3"/>
        <v>85</v>
      </c>
      <c r="J107" s="19" t="s">
        <v>25</v>
      </c>
    </row>
    <row r="108" spans="1:10" ht="33.950000000000003" customHeight="1" x14ac:dyDescent="0.25">
      <c r="A108" s="15">
        <v>107</v>
      </c>
      <c r="B108" s="15" t="s">
        <v>219</v>
      </c>
      <c r="C108" s="15" t="s">
        <v>53</v>
      </c>
      <c r="D108" s="15" t="s">
        <v>220</v>
      </c>
      <c r="E108" s="15" t="s">
        <v>24</v>
      </c>
      <c r="F108" s="16">
        <v>84</v>
      </c>
      <c r="G108" s="17">
        <v>84</v>
      </c>
      <c r="H108" s="17">
        <v>90</v>
      </c>
      <c r="I108" s="18">
        <f t="shared" si="3"/>
        <v>85</v>
      </c>
      <c r="J108" s="15" t="s">
        <v>25</v>
      </c>
    </row>
    <row r="109" spans="1:10" ht="33.950000000000003" customHeight="1" x14ac:dyDescent="0.25">
      <c r="A109" s="19">
        <v>108</v>
      </c>
      <c r="B109" s="19" t="s">
        <v>221</v>
      </c>
      <c r="C109" s="19" t="s">
        <v>53</v>
      </c>
      <c r="D109" s="19" t="s">
        <v>23</v>
      </c>
      <c r="E109" s="19" t="s">
        <v>24</v>
      </c>
      <c r="F109" s="20">
        <v>84</v>
      </c>
      <c r="G109" s="21">
        <v>84</v>
      </c>
      <c r="H109" s="21">
        <v>90</v>
      </c>
      <c r="I109" s="22">
        <f t="shared" si="3"/>
        <v>85</v>
      </c>
      <c r="J109" s="19" t="s">
        <v>25</v>
      </c>
    </row>
    <row r="110" spans="1:10" ht="33.950000000000003" customHeight="1" x14ac:dyDescent="0.25">
      <c r="A110" s="15">
        <v>109</v>
      </c>
      <c r="B110" s="15" t="s">
        <v>222</v>
      </c>
      <c r="C110" s="15" t="s">
        <v>53</v>
      </c>
      <c r="D110" s="15" t="s">
        <v>223</v>
      </c>
      <c r="E110" s="15" t="s">
        <v>24</v>
      </c>
      <c r="F110" s="16">
        <v>84</v>
      </c>
      <c r="G110" s="17">
        <v>84</v>
      </c>
      <c r="H110" s="17">
        <v>90</v>
      </c>
      <c r="I110" s="18">
        <f t="shared" si="3"/>
        <v>85</v>
      </c>
      <c r="J110" s="15" t="s">
        <v>25</v>
      </c>
    </row>
    <row r="111" spans="1:10" ht="33.950000000000003" customHeight="1" x14ac:dyDescent="0.25">
      <c r="A111" s="19">
        <v>110</v>
      </c>
      <c r="B111" s="19" t="s">
        <v>224</v>
      </c>
      <c r="C111" s="19" t="s">
        <v>53</v>
      </c>
      <c r="D111" s="19" t="s">
        <v>225</v>
      </c>
      <c r="E111" s="19" t="s">
        <v>24</v>
      </c>
      <c r="F111" s="20">
        <v>84</v>
      </c>
      <c r="G111" s="21">
        <v>84</v>
      </c>
      <c r="H111" s="21">
        <v>90</v>
      </c>
      <c r="I111" s="22">
        <f t="shared" si="3"/>
        <v>85</v>
      </c>
      <c r="J111" s="19" t="s">
        <v>25</v>
      </c>
    </row>
    <row r="112" spans="1:10" ht="33.950000000000003" customHeight="1" x14ac:dyDescent="0.25">
      <c r="A112" s="15">
        <v>111</v>
      </c>
      <c r="B112" s="15" t="s">
        <v>226</v>
      </c>
      <c r="C112" s="15" t="s">
        <v>33</v>
      </c>
      <c r="D112" s="15" t="s">
        <v>227</v>
      </c>
      <c r="E112" s="15" t="s">
        <v>24</v>
      </c>
      <c r="F112" s="16">
        <v>84</v>
      </c>
      <c r="G112" s="17">
        <v>84</v>
      </c>
      <c r="H112" s="17">
        <v>90</v>
      </c>
      <c r="I112" s="18">
        <f t="shared" si="3"/>
        <v>85</v>
      </c>
      <c r="J112" s="15" t="s">
        <v>25</v>
      </c>
    </row>
    <row r="113" spans="1:10" ht="33.950000000000003" customHeight="1" x14ac:dyDescent="0.25">
      <c r="A113" s="19">
        <v>112</v>
      </c>
      <c r="B113" s="19" t="s">
        <v>228</v>
      </c>
      <c r="C113" s="19" t="s">
        <v>56</v>
      </c>
      <c r="D113" s="19" t="s">
        <v>229</v>
      </c>
      <c r="E113" s="19" t="s">
        <v>24</v>
      </c>
      <c r="F113" s="20">
        <v>84</v>
      </c>
      <c r="G113" s="21">
        <v>84</v>
      </c>
      <c r="H113" s="21">
        <v>90</v>
      </c>
      <c r="I113" s="22">
        <f t="shared" si="3"/>
        <v>85</v>
      </c>
      <c r="J113" s="19" t="s">
        <v>25</v>
      </c>
    </row>
    <row r="114" spans="1:10" ht="33.950000000000003" customHeight="1" x14ac:dyDescent="0.25">
      <c r="A114" s="15">
        <v>113</v>
      </c>
      <c r="B114" s="15" t="s">
        <v>230</v>
      </c>
      <c r="C114" s="15" t="s">
        <v>50</v>
      </c>
      <c r="D114" s="15" t="s">
        <v>150</v>
      </c>
      <c r="E114" s="15" t="s">
        <v>24</v>
      </c>
      <c r="F114" s="16">
        <v>84</v>
      </c>
      <c r="G114" s="17">
        <v>84</v>
      </c>
      <c r="H114" s="17">
        <v>90</v>
      </c>
      <c r="I114" s="18">
        <f t="shared" si="3"/>
        <v>85</v>
      </c>
      <c r="J114" s="15" t="s">
        <v>25</v>
      </c>
    </row>
    <row r="115" spans="1:10" ht="33.950000000000003" customHeight="1" x14ac:dyDescent="0.25">
      <c r="A115" s="19">
        <v>114</v>
      </c>
      <c r="B115" s="19" t="s">
        <v>231</v>
      </c>
      <c r="C115" s="19" t="s">
        <v>136</v>
      </c>
      <c r="D115" s="19" t="s">
        <v>232</v>
      </c>
      <c r="E115" s="19" t="s">
        <v>24</v>
      </c>
      <c r="F115" s="20">
        <v>84</v>
      </c>
      <c r="G115" s="21">
        <v>84</v>
      </c>
      <c r="H115" s="21">
        <v>90</v>
      </c>
      <c r="I115" s="22">
        <f t="shared" si="3"/>
        <v>85</v>
      </c>
      <c r="J115" s="19" t="s">
        <v>25</v>
      </c>
    </row>
    <row r="116" spans="1:10" ht="33.950000000000003" customHeight="1" x14ac:dyDescent="0.25">
      <c r="A116" s="15">
        <v>115</v>
      </c>
      <c r="B116" s="15" t="s">
        <v>233</v>
      </c>
      <c r="C116" s="15" t="s">
        <v>234</v>
      </c>
      <c r="D116" s="15" t="s">
        <v>28</v>
      </c>
      <c r="E116" s="15" t="s">
        <v>24</v>
      </c>
      <c r="F116" s="16">
        <v>84</v>
      </c>
      <c r="G116" s="17">
        <v>84</v>
      </c>
      <c r="H116" s="17">
        <v>90</v>
      </c>
      <c r="I116" s="18">
        <f t="shared" si="3"/>
        <v>85</v>
      </c>
      <c r="J116" s="15" t="s">
        <v>25</v>
      </c>
    </row>
    <row r="117" spans="1:10" ht="33.950000000000003" customHeight="1" x14ac:dyDescent="0.25">
      <c r="A117" s="19">
        <v>116</v>
      </c>
      <c r="B117" s="19" t="s">
        <v>235</v>
      </c>
      <c r="C117" s="19" t="s">
        <v>50</v>
      </c>
      <c r="D117" s="19" t="s">
        <v>28</v>
      </c>
      <c r="E117" s="19" t="s">
        <v>24</v>
      </c>
      <c r="F117" s="20">
        <v>84</v>
      </c>
      <c r="G117" s="21">
        <v>84</v>
      </c>
      <c r="H117" s="21">
        <v>90</v>
      </c>
      <c r="I117" s="22">
        <f t="shared" si="3"/>
        <v>85</v>
      </c>
      <c r="J117" s="19" t="s">
        <v>25</v>
      </c>
    </row>
    <row r="118" spans="1:10" ht="33.950000000000003" customHeight="1" x14ac:dyDescent="0.25">
      <c r="A118" s="15">
        <v>117</v>
      </c>
      <c r="B118" s="15" t="s">
        <v>236</v>
      </c>
      <c r="C118" s="15" t="s">
        <v>50</v>
      </c>
      <c r="D118" s="15" t="s">
        <v>28</v>
      </c>
      <c r="E118" s="15" t="s">
        <v>24</v>
      </c>
      <c r="F118" s="16">
        <v>84</v>
      </c>
      <c r="G118" s="17">
        <v>84</v>
      </c>
      <c r="H118" s="17">
        <v>90</v>
      </c>
      <c r="I118" s="18">
        <f t="shared" si="3"/>
        <v>85</v>
      </c>
      <c r="J118" s="15" t="s">
        <v>25</v>
      </c>
    </row>
    <row r="119" spans="1:10" ht="33.950000000000003" customHeight="1" x14ac:dyDescent="0.25">
      <c r="A119" s="19">
        <v>118</v>
      </c>
      <c r="B119" s="19" t="s">
        <v>237</v>
      </c>
      <c r="C119" s="19" t="s">
        <v>50</v>
      </c>
      <c r="D119" s="19" t="s">
        <v>28</v>
      </c>
      <c r="E119" s="19" t="s">
        <v>24</v>
      </c>
      <c r="F119" s="20">
        <v>83</v>
      </c>
      <c r="G119" s="21">
        <v>83</v>
      </c>
      <c r="H119" s="21">
        <v>89</v>
      </c>
      <c r="I119" s="22">
        <f t="shared" si="3"/>
        <v>84</v>
      </c>
      <c r="J119" s="19" t="s">
        <v>25</v>
      </c>
    </row>
    <row r="120" spans="1:10" ht="33.950000000000003" customHeight="1" x14ac:dyDescent="0.25">
      <c r="A120" s="15">
        <v>119</v>
      </c>
      <c r="B120" s="15" t="s">
        <v>238</v>
      </c>
      <c r="C120" s="15" t="s">
        <v>89</v>
      </c>
      <c r="D120" s="15" t="s">
        <v>239</v>
      </c>
      <c r="E120" s="15" t="s">
        <v>24</v>
      </c>
      <c r="F120" s="16">
        <v>83</v>
      </c>
      <c r="G120" s="17">
        <v>83</v>
      </c>
      <c r="H120" s="17">
        <v>89</v>
      </c>
      <c r="I120" s="18">
        <f t="shared" si="3"/>
        <v>84</v>
      </c>
      <c r="J120" s="15" t="s">
        <v>25</v>
      </c>
    </row>
    <row r="121" spans="1:10" ht="33.950000000000003" customHeight="1" x14ac:dyDescent="0.25">
      <c r="A121" s="19">
        <v>120</v>
      </c>
      <c r="B121" s="19" t="s">
        <v>240</v>
      </c>
      <c r="C121" s="19" t="s">
        <v>241</v>
      </c>
      <c r="D121" s="19" t="s">
        <v>242</v>
      </c>
      <c r="E121" s="19" t="s">
        <v>24</v>
      </c>
      <c r="F121" s="20">
        <v>83</v>
      </c>
      <c r="G121" s="21">
        <v>83</v>
      </c>
      <c r="H121" s="21">
        <v>89</v>
      </c>
      <c r="I121" s="22">
        <f t="shared" si="3"/>
        <v>84</v>
      </c>
      <c r="J121" s="19" t="s">
        <v>25</v>
      </c>
    </row>
    <row r="122" spans="1:10" ht="33.950000000000003" customHeight="1" x14ac:dyDescent="0.25">
      <c r="A122" s="15">
        <v>121</v>
      </c>
      <c r="B122" s="15" t="s">
        <v>243</v>
      </c>
      <c r="C122" s="15" t="s">
        <v>105</v>
      </c>
      <c r="D122" s="15" t="s">
        <v>244</v>
      </c>
      <c r="E122" s="15" t="s">
        <v>24</v>
      </c>
      <c r="F122" s="16">
        <v>83</v>
      </c>
      <c r="G122" s="17">
        <v>83</v>
      </c>
      <c r="H122" s="17">
        <v>89</v>
      </c>
      <c r="I122" s="18">
        <f t="shared" si="3"/>
        <v>84</v>
      </c>
      <c r="J122" s="15" t="s">
        <v>25</v>
      </c>
    </row>
    <row r="123" spans="1:10" ht="33.950000000000003" customHeight="1" x14ac:dyDescent="0.25">
      <c r="A123" s="19">
        <v>122</v>
      </c>
      <c r="B123" s="19" t="s">
        <v>245</v>
      </c>
      <c r="C123" s="19" t="s">
        <v>33</v>
      </c>
      <c r="D123" s="19" t="s">
        <v>246</v>
      </c>
      <c r="E123" s="19" t="s">
        <v>24</v>
      </c>
      <c r="F123" s="20">
        <v>83</v>
      </c>
      <c r="G123" s="21">
        <v>83</v>
      </c>
      <c r="H123" s="21">
        <v>89</v>
      </c>
      <c r="I123" s="22">
        <f t="shared" si="3"/>
        <v>84</v>
      </c>
      <c r="J123" s="19" t="s">
        <v>25</v>
      </c>
    </row>
    <row r="124" spans="1:10" ht="33.950000000000003" customHeight="1" x14ac:dyDescent="0.25">
      <c r="A124" s="15">
        <v>123</v>
      </c>
      <c r="B124" s="15" t="s">
        <v>247</v>
      </c>
      <c r="C124" s="15" t="s">
        <v>43</v>
      </c>
      <c r="D124" s="15" t="s">
        <v>248</v>
      </c>
      <c r="E124" s="15" t="s">
        <v>24</v>
      </c>
      <c r="F124" s="16">
        <v>83</v>
      </c>
      <c r="G124" s="17">
        <v>83</v>
      </c>
      <c r="H124" s="17">
        <v>89</v>
      </c>
      <c r="I124" s="18">
        <f t="shared" si="3"/>
        <v>84</v>
      </c>
      <c r="J124" s="15" t="s">
        <v>25</v>
      </c>
    </row>
    <row r="125" spans="1:10" ht="33.950000000000003" customHeight="1" x14ac:dyDescent="0.25">
      <c r="A125" s="19">
        <v>124</v>
      </c>
      <c r="B125" s="19" t="s">
        <v>249</v>
      </c>
      <c r="C125" s="19" t="s">
        <v>43</v>
      </c>
      <c r="D125" s="19" t="s">
        <v>250</v>
      </c>
      <c r="E125" s="19" t="s">
        <v>24</v>
      </c>
      <c r="F125" s="20">
        <v>83</v>
      </c>
      <c r="G125" s="21">
        <v>83</v>
      </c>
      <c r="H125" s="21">
        <v>89</v>
      </c>
      <c r="I125" s="22">
        <f t="shared" si="3"/>
        <v>84</v>
      </c>
      <c r="J125" s="19" t="s">
        <v>25</v>
      </c>
    </row>
    <row r="126" spans="1:10" ht="33.950000000000003" customHeight="1" x14ac:dyDescent="0.25">
      <c r="A126" s="15">
        <v>125</v>
      </c>
      <c r="B126" s="15" t="s">
        <v>251</v>
      </c>
      <c r="C126" s="15" t="s">
        <v>43</v>
      </c>
      <c r="D126" s="15" t="s">
        <v>101</v>
      </c>
      <c r="E126" s="15" t="s">
        <v>24</v>
      </c>
      <c r="F126" s="16">
        <v>83</v>
      </c>
      <c r="G126" s="17">
        <v>83</v>
      </c>
      <c r="H126" s="17">
        <v>89</v>
      </c>
      <c r="I126" s="18">
        <f t="shared" si="3"/>
        <v>84</v>
      </c>
      <c r="J126" s="15" t="s">
        <v>25</v>
      </c>
    </row>
    <row r="127" spans="1:10" ht="33.950000000000003" customHeight="1" x14ac:dyDescent="0.25">
      <c r="A127" s="19">
        <v>126</v>
      </c>
      <c r="B127" s="19" t="s">
        <v>252</v>
      </c>
      <c r="C127" s="19" t="s">
        <v>43</v>
      </c>
      <c r="D127" s="19" t="s">
        <v>253</v>
      </c>
      <c r="E127" s="19" t="s">
        <v>24</v>
      </c>
      <c r="F127" s="20">
        <v>83</v>
      </c>
      <c r="G127" s="21">
        <v>83</v>
      </c>
      <c r="H127" s="21">
        <v>89</v>
      </c>
      <c r="I127" s="22">
        <f t="shared" si="3"/>
        <v>84</v>
      </c>
      <c r="J127" s="19" t="s">
        <v>25</v>
      </c>
    </row>
    <row r="128" spans="1:10" ht="33.950000000000003" customHeight="1" x14ac:dyDescent="0.25">
      <c r="A128" s="15">
        <v>127</v>
      </c>
      <c r="B128" s="15" t="s">
        <v>254</v>
      </c>
      <c r="C128" s="15" t="s">
        <v>93</v>
      </c>
      <c r="D128" s="15" t="s">
        <v>23</v>
      </c>
      <c r="E128" s="15" t="s">
        <v>24</v>
      </c>
      <c r="F128" s="16">
        <v>83</v>
      </c>
      <c r="G128" s="17">
        <v>83</v>
      </c>
      <c r="H128" s="17">
        <v>89</v>
      </c>
      <c r="I128" s="18">
        <f t="shared" si="3"/>
        <v>84</v>
      </c>
      <c r="J128" s="15" t="s">
        <v>25</v>
      </c>
    </row>
    <row r="129" spans="1:10" ht="33.950000000000003" customHeight="1" x14ac:dyDescent="0.25">
      <c r="A129" s="19">
        <v>128</v>
      </c>
      <c r="B129" s="19" t="s">
        <v>255</v>
      </c>
      <c r="C129" s="19" t="s">
        <v>35</v>
      </c>
      <c r="D129" s="19" t="s">
        <v>23</v>
      </c>
      <c r="E129" s="19" t="s">
        <v>24</v>
      </c>
      <c r="F129" s="20">
        <v>83</v>
      </c>
      <c r="G129" s="21">
        <v>83</v>
      </c>
      <c r="H129" s="21">
        <v>89</v>
      </c>
      <c r="I129" s="22">
        <f t="shared" si="3"/>
        <v>84</v>
      </c>
      <c r="J129" s="19" t="s">
        <v>25</v>
      </c>
    </row>
    <row r="130" spans="1:10" ht="33.950000000000003" customHeight="1" x14ac:dyDescent="0.25">
      <c r="A130" s="15">
        <v>129</v>
      </c>
      <c r="B130" s="15" t="s">
        <v>256</v>
      </c>
      <c r="C130" s="15" t="s">
        <v>257</v>
      </c>
      <c r="D130" s="15" t="s">
        <v>23</v>
      </c>
      <c r="E130" s="15" t="s">
        <v>24</v>
      </c>
      <c r="F130" s="16">
        <v>83</v>
      </c>
      <c r="G130" s="17">
        <v>83</v>
      </c>
      <c r="H130" s="17">
        <v>89</v>
      </c>
      <c r="I130" s="18">
        <f t="shared" ref="I130:I161" si="4">ROUND(F130*0.55+G130*0.3+H130*0.15,0)</f>
        <v>84</v>
      </c>
      <c r="J130" s="15" t="s">
        <v>25</v>
      </c>
    </row>
    <row r="131" spans="1:10" ht="33.950000000000003" customHeight="1" x14ac:dyDescent="0.25">
      <c r="A131" s="19">
        <v>130</v>
      </c>
      <c r="B131" s="19" t="s">
        <v>258</v>
      </c>
      <c r="C131" s="19" t="s">
        <v>173</v>
      </c>
      <c r="D131" s="19" t="s">
        <v>23</v>
      </c>
      <c r="E131" s="19" t="s">
        <v>24</v>
      </c>
      <c r="F131" s="20">
        <v>83</v>
      </c>
      <c r="G131" s="21">
        <v>83</v>
      </c>
      <c r="H131" s="21">
        <v>89</v>
      </c>
      <c r="I131" s="22">
        <f t="shared" si="4"/>
        <v>84</v>
      </c>
      <c r="J131" s="19" t="s">
        <v>25</v>
      </c>
    </row>
    <row r="132" spans="1:10" ht="33.950000000000003" customHeight="1" x14ac:dyDescent="0.25">
      <c r="A132" s="15">
        <v>131</v>
      </c>
      <c r="B132" s="15" t="s">
        <v>259</v>
      </c>
      <c r="C132" s="15" t="s">
        <v>43</v>
      </c>
      <c r="D132" s="15" t="s">
        <v>260</v>
      </c>
      <c r="E132" s="15" t="s">
        <v>24</v>
      </c>
      <c r="F132" s="16">
        <v>83</v>
      </c>
      <c r="G132" s="17">
        <v>83</v>
      </c>
      <c r="H132" s="17">
        <v>89</v>
      </c>
      <c r="I132" s="18">
        <f t="shared" si="4"/>
        <v>84</v>
      </c>
      <c r="J132" s="15" t="s">
        <v>25</v>
      </c>
    </row>
    <row r="133" spans="1:10" ht="33.950000000000003" customHeight="1" x14ac:dyDescent="0.25">
      <c r="A133" s="19">
        <v>132</v>
      </c>
      <c r="B133" s="19" t="s">
        <v>261</v>
      </c>
      <c r="C133" s="19" t="s">
        <v>35</v>
      </c>
      <c r="D133" s="19" t="s">
        <v>70</v>
      </c>
      <c r="E133" s="19" t="s">
        <v>24</v>
      </c>
      <c r="F133" s="20">
        <v>83</v>
      </c>
      <c r="G133" s="21">
        <v>83</v>
      </c>
      <c r="H133" s="21">
        <v>89</v>
      </c>
      <c r="I133" s="22">
        <f t="shared" si="4"/>
        <v>84</v>
      </c>
      <c r="J133" s="19" t="s">
        <v>25</v>
      </c>
    </row>
    <row r="134" spans="1:10" ht="33.950000000000003" customHeight="1" x14ac:dyDescent="0.25">
      <c r="A134" s="15">
        <v>133</v>
      </c>
      <c r="B134" s="15" t="s">
        <v>262</v>
      </c>
      <c r="C134" s="15" t="s">
        <v>154</v>
      </c>
      <c r="D134" s="15" t="s">
        <v>263</v>
      </c>
      <c r="E134" s="15" t="s">
        <v>24</v>
      </c>
      <c r="F134" s="16">
        <v>83</v>
      </c>
      <c r="G134" s="17">
        <v>83</v>
      </c>
      <c r="H134" s="17">
        <v>89</v>
      </c>
      <c r="I134" s="18">
        <f t="shared" si="4"/>
        <v>84</v>
      </c>
      <c r="J134" s="15" t="s">
        <v>25</v>
      </c>
    </row>
    <row r="135" spans="1:10" ht="33.950000000000003" customHeight="1" x14ac:dyDescent="0.25">
      <c r="A135" s="19">
        <v>134</v>
      </c>
      <c r="B135" s="19" t="s">
        <v>264</v>
      </c>
      <c r="C135" s="19" t="s">
        <v>33</v>
      </c>
      <c r="D135" s="19" t="s">
        <v>265</v>
      </c>
      <c r="E135" s="19" t="s">
        <v>24</v>
      </c>
      <c r="F135" s="20">
        <v>83</v>
      </c>
      <c r="G135" s="21">
        <v>83</v>
      </c>
      <c r="H135" s="21">
        <v>89</v>
      </c>
      <c r="I135" s="22">
        <f t="shared" si="4"/>
        <v>84</v>
      </c>
      <c r="J135" s="19" t="s">
        <v>25</v>
      </c>
    </row>
    <row r="136" spans="1:10" ht="33.950000000000003" customHeight="1" x14ac:dyDescent="0.25">
      <c r="A136" s="15">
        <v>135</v>
      </c>
      <c r="B136" s="15" t="s">
        <v>266</v>
      </c>
      <c r="C136" s="15" t="s">
        <v>33</v>
      </c>
      <c r="D136" s="15" t="s">
        <v>267</v>
      </c>
      <c r="E136" s="15" t="s">
        <v>24</v>
      </c>
      <c r="F136" s="16">
        <v>82</v>
      </c>
      <c r="G136" s="17">
        <v>82</v>
      </c>
      <c r="H136" s="17">
        <v>88</v>
      </c>
      <c r="I136" s="18">
        <f t="shared" si="4"/>
        <v>83</v>
      </c>
      <c r="J136" s="15" t="s">
        <v>25</v>
      </c>
    </row>
    <row r="137" spans="1:10" ht="33.950000000000003" customHeight="1" x14ac:dyDescent="0.25">
      <c r="A137" s="19">
        <v>136</v>
      </c>
      <c r="B137" s="19" t="s">
        <v>268</v>
      </c>
      <c r="C137" s="19" t="s">
        <v>43</v>
      </c>
      <c r="D137" s="19" t="s">
        <v>210</v>
      </c>
      <c r="E137" s="19" t="s">
        <v>24</v>
      </c>
      <c r="F137" s="20">
        <v>82</v>
      </c>
      <c r="G137" s="21">
        <v>82</v>
      </c>
      <c r="H137" s="21">
        <v>88</v>
      </c>
      <c r="I137" s="22">
        <f t="shared" si="4"/>
        <v>83</v>
      </c>
      <c r="J137" s="19" t="s">
        <v>25</v>
      </c>
    </row>
    <row r="138" spans="1:10" ht="33.950000000000003" customHeight="1" x14ac:dyDescent="0.25">
      <c r="A138" s="15">
        <v>137</v>
      </c>
      <c r="B138" s="15" t="s">
        <v>269</v>
      </c>
      <c r="C138" s="15" t="s">
        <v>109</v>
      </c>
      <c r="D138" s="15" t="s">
        <v>270</v>
      </c>
      <c r="E138" s="15" t="s">
        <v>24</v>
      </c>
      <c r="F138" s="16">
        <v>82</v>
      </c>
      <c r="G138" s="17">
        <v>82</v>
      </c>
      <c r="H138" s="17">
        <v>88</v>
      </c>
      <c r="I138" s="18">
        <f t="shared" si="4"/>
        <v>83</v>
      </c>
      <c r="J138" s="15" t="s">
        <v>25</v>
      </c>
    </row>
    <row r="139" spans="1:10" ht="33.950000000000003" customHeight="1" x14ac:dyDescent="0.25">
      <c r="A139" s="19">
        <v>138</v>
      </c>
      <c r="B139" s="19" t="s">
        <v>271</v>
      </c>
      <c r="C139" s="19" t="s">
        <v>43</v>
      </c>
      <c r="D139" s="19" t="s">
        <v>210</v>
      </c>
      <c r="E139" s="19" t="s">
        <v>24</v>
      </c>
      <c r="F139" s="20">
        <v>82</v>
      </c>
      <c r="G139" s="21">
        <v>82</v>
      </c>
      <c r="H139" s="21">
        <v>88</v>
      </c>
      <c r="I139" s="22">
        <f t="shared" si="4"/>
        <v>83</v>
      </c>
      <c r="J139" s="19" t="s">
        <v>25</v>
      </c>
    </row>
    <row r="140" spans="1:10" ht="33.950000000000003" customHeight="1" x14ac:dyDescent="0.25">
      <c r="A140" s="15">
        <v>139</v>
      </c>
      <c r="B140" s="15" t="s">
        <v>272</v>
      </c>
      <c r="C140" s="15" t="s">
        <v>43</v>
      </c>
      <c r="D140" s="15" t="s">
        <v>51</v>
      </c>
      <c r="E140" s="15" t="s">
        <v>24</v>
      </c>
      <c r="F140" s="16">
        <v>82</v>
      </c>
      <c r="G140" s="17">
        <v>82</v>
      </c>
      <c r="H140" s="17">
        <v>88</v>
      </c>
      <c r="I140" s="18">
        <f t="shared" si="4"/>
        <v>83</v>
      </c>
      <c r="J140" s="15" t="s">
        <v>25</v>
      </c>
    </row>
    <row r="141" spans="1:10" ht="33.950000000000003" customHeight="1" x14ac:dyDescent="0.25">
      <c r="A141" s="19">
        <v>140</v>
      </c>
      <c r="B141" s="19" t="s">
        <v>273</v>
      </c>
      <c r="C141" s="19" t="s">
        <v>192</v>
      </c>
      <c r="D141" s="19" t="s">
        <v>274</v>
      </c>
      <c r="E141" s="19" t="s">
        <v>24</v>
      </c>
      <c r="F141" s="20">
        <v>82</v>
      </c>
      <c r="G141" s="21">
        <v>82</v>
      </c>
      <c r="H141" s="21">
        <v>88</v>
      </c>
      <c r="I141" s="22">
        <f t="shared" si="4"/>
        <v>83</v>
      </c>
      <c r="J141" s="19" t="s">
        <v>25</v>
      </c>
    </row>
    <row r="142" spans="1:10" ht="33.950000000000003" customHeight="1" x14ac:dyDescent="0.25">
      <c r="A142" s="15">
        <v>141</v>
      </c>
      <c r="B142" s="15" t="s">
        <v>275</v>
      </c>
      <c r="C142" s="15" t="s">
        <v>43</v>
      </c>
      <c r="D142" s="15" t="s">
        <v>51</v>
      </c>
      <c r="E142" s="15" t="s">
        <v>24</v>
      </c>
      <c r="F142" s="16">
        <v>82</v>
      </c>
      <c r="G142" s="17">
        <v>82</v>
      </c>
      <c r="H142" s="17">
        <v>88</v>
      </c>
      <c r="I142" s="18">
        <f t="shared" si="4"/>
        <v>83</v>
      </c>
      <c r="J142" s="15" t="s">
        <v>25</v>
      </c>
    </row>
    <row r="143" spans="1:10" ht="33.950000000000003" customHeight="1" x14ac:dyDescent="0.25">
      <c r="A143" s="19">
        <v>142</v>
      </c>
      <c r="B143" s="19" t="s">
        <v>276</v>
      </c>
      <c r="C143" s="19" t="s">
        <v>33</v>
      </c>
      <c r="D143" s="19" t="s">
        <v>28</v>
      </c>
      <c r="E143" s="19" t="s">
        <v>24</v>
      </c>
      <c r="F143" s="20">
        <v>82</v>
      </c>
      <c r="G143" s="21">
        <v>82</v>
      </c>
      <c r="H143" s="21">
        <v>88</v>
      </c>
      <c r="I143" s="22">
        <f t="shared" si="4"/>
        <v>83</v>
      </c>
      <c r="J143" s="19" t="s">
        <v>25</v>
      </c>
    </row>
    <row r="144" spans="1:10" ht="33.950000000000003" customHeight="1" x14ac:dyDescent="0.25">
      <c r="A144" s="15">
        <v>143</v>
      </c>
      <c r="B144" s="15" t="s">
        <v>277</v>
      </c>
      <c r="C144" s="15" t="s">
        <v>43</v>
      </c>
      <c r="D144" s="15" t="s">
        <v>28</v>
      </c>
      <c r="E144" s="15" t="s">
        <v>24</v>
      </c>
      <c r="F144" s="16">
        <v>82</v>
      </c>
      <c r="G144" s="17">
        <v>82</v>
      </c>
      <c r="H144" s="17">
        <v>88</v>
      </c>
      <c r="I144" s="18">
        <f t="shared" si="4"/>
        <v>83</v>
      </c>
      <c r="J144" s="15" t="s">
        <v>25</v>
      </c>
    </row>
    <row r="145" spans="1:10" ht="33.950000000000003" customHeight="1" x14ac:dyDescent="0.25">
      <c r="A145" s="19">
        <v>144</v>
      </c>
      <c r="B145" s="19" t="s">
        <v>278</v>
      </c>
      <c r="C145" s="19" t="s">
        <v>279</v>
      </c>
      <c r="D145" s="19" t="s">
        <v>28</v>
      </c>
      <c r="E145" s="19" t="s">
        <v>24</v>
      </c>
      <c r="F145" s="20">
        <v>82</v>
      </c>
      <c r="G145" s="21">
        <v>82</v>
      </c>
      <c r="H145" s="21">
        <v>88</v>
      </c>
      <c r="I145" s="22">
        <f t="shared" si="4"/>
        <v>83</v>
      </c>
      <c r="J145" s="19" t="s">
        <v>25</v>
      </c>
    </row>
    <row r="146" spans="1:10" ht="33.950000000000003" customHeight="1" x14ac:dyDescent="0.25">
      <c r="A146" s="15">
        <v>145</v>
      </c>
      <c r="B146" s="15" t="s">
        <v>280</v>
      </c>
      <c r="C146" s="15" t="s">
        <v>281</v>
      </c>
      <c r="D146" s="15" t="s">
        <v>282</v>
      </c>
      <c r="E146" s="15" t="s">
        <v>24</v>
      </c>
      <c r="F146" s="16">
        <v>82</v>
      </c>
      <c r="G146" s="17">
        <v>82</v>
      </c>
      <c r="H146" s="17">
        <v>88</v>
      </c>
      <c r="I146" s="18">
        <f t="shared" si="4"/>
        <v>83</v>
      </c>
      <c r="J146" s="15" t="s">
        <v>25</v>
      </c>
    </row>
    <row r="147" spans="1:10" ht="33.950000000000003" customHeight="1" x14ac:dyDescent="0.25">
      <c r="A147" s="19">
        <v>146</v>
      </c>
      <c r="B147" s="19" t="s">
        <v>283</v>
      </c>
      <c r="C147" s="19" t="s">
        <v>284</v>
      </c>
      <c r="D147" s="19" t="s">
        <v>285</v>
      </c>
      <c r="E147" s="19" t="s">
        <v>24</v>
      </c>
      <c r="F147" s="20">
        <v>82</v>
      </c>
      <c r="G147" s="21">
        <v>82</v>
      </c>
      <c r="H147" s="21">
        <v>88</v>
      </c>
      <c r="I147" s="22">
        <f t="shared" si="4"/>
        <v>83</v>
      </c>
      <c r="J147" s="19" t="s">
        <v>25</v>
      </c>
    </row>
    <row r="148" spans="1:10" ht="33.950000000000003" customHeight="1" x14ac:dyDescent="0.25">
      <c r="A148" s="15">
        <v>147</v>
      </c>
      <c r="B148" s="15" t="s">
        <v>286</v>
      </c>
      <c r="C148" s="15" t="s">
        <v>22</v>
      </c>
      <c r="D148" s="15" t="s">
        <v>287</v>
      </c>
      <c r="E148" s="15" t="s">
        <v>24</v>
      </c>
      <c r="F148" s="16">
        <v>82</v>
      </c>
      <c r="G148" s="17">
        <v>82</v>
      </c>
      <c r="H148" s="17">
        <v>88</v>
      </c>
      <c r="I148" s="18">
        <f t="shared" si="4"/>
        <v>83</v>
      </c>
      <c r="J148" s="15" t="s">
        <v>25</v>
      </c>
    </row>
    <row r="149" spans="1:10" ht="33.950000000000003" customHeight="1" x14ac:dyDescent="0.25">
      <c r="A149" s="19">
        <v>148</v>
      </c>
      <c r="B149" s="19" t="s">
        <v>288</v>
      </c>
      <c r="C149" s="19" t="s">
        <v>192</v>
      </c>
      <c r="D149" s="19" t="s">
        <v>289</v>
      </c>
      <c r="E149" s="19" t="s">
        <v>24</v>
      </c>
      <c r="F149" s="20">
        <v>82</v>
      </c>
      <c r="G149" s="21">
        <v>82</v>
      </c>
      <c r="H149" s="21">
        <v>88</v>
      </c>
      <c r="I149" s="22">
        <f t="shared" si="4"/>
        <v>83</v>
      </c>
      <c r="J149" s="19" t="s">
        <v>25</v>
      </c>
    </row>
    <row r="150" spans="1:10" ht="33.950000000000003" customHeight="1" x14ac:dyDescent="0.25">
      <c r="A150" s="15">
        <v>149</v>
      </c>
      <c r="B150" s="15" t="s">
        <v>290</v>
      </c>
      <c r="C150" s="15" t="s">
        <v>279</v>
      </c>
      <c r="D150" s="15" t="s">
        <v>285</v>
      </c>
      <c r="E150" s="15" t="s">
        <v>24</v>
      </c>
      <c r="F150" s="16">
        <v>82</v>
      </c>
      <c r="G150" s="17">
        <v>82</v>
      </c>
      <c r="H150" s="17">
        <v>88</v>
      </c>
      <c r="I150" s="18">
        <f t="shared" si="4"/>
        <v>83</v>
      </c>
      <c r="J150" s="15" t="s">
        <v>25</v>
      </c>
    </row>
    <row r="151" spans="1:10" ht="33.950000000000003" customHeight="1" x14ac:dyDescent="0.25">
      <c r="A151" s="19">
        <v>150</v>
      </c>
      <c r="B151" s="19" t="s">
        <v>291</v>
      </c>
      <c r="C151" s="19" t="s">
        <v>43</v>
      </c>
      <c r="D151" s="19" t="s">
        <v>285</v>
      </c>
      <c r="E151" s="19" t="s">
        <v>24</v>
      </c>
      <c r="F151" s="20">
        <v>82</v>
      </c>
      <c r="G151" s="21">
        <v>82</v>
      </c>
      <c r="H151" s="21">
        <v>88</v>
      </c>
      <c r="I151" s="22">
        <f t="shared" si="4"/>
        <v>83</v>
      </c>
      <c r="J151" s="19" t="s">
        <v>25</v>
      </c>
    </row>
    <row r="152" spans="1:10" ht="33.950000000000003" customHeight="1" x14ac:dyDescent="0.25">
      <c r="A152" s="15">
        <v>151</v>
      </c>
      <c r="B152" s="15" t="s">
        <v>292</v>
      </c>
      <c r="C152" s="15" t="s">
        <v>279</v>
      </c>
      <c r="D152" s="15" t="s">
        <v>293</v>
      </c>
      <c r="E152" s="15" t="s">
        <v>24</v>
      </c>
      <c r="F152" s="16">
        <v>81</v>
      </c>
      <c r="G152" s="17">
        <v>81</v>
      </c>
      <c r="H152" s="17">
        <v>87</v>
      </c>
      <c r="I152" s="18">
        <f t="shared" si="4"/>
        <v>82</v>
      </c>
      <c r="J152" s="15" t="s">
        <v>25</v>
      </c>
    </row>
    <row r="153" spans="1:10" ht="33.950000000000003" customHeight="1" x14ac:dyDescent="0.25">
      <c r="A153" s="19">
        <v>152</v>
      </c>
      <c r="B153" s="19" t="s">
        <v>294</v>
      </c>
      <c r="C153" s="19" t="s">
        <v>43</v>
      </c>
      <c r="D153" s="19" t="s">
        <v>295</v>
      </c>
      <c r="E153" s="19" t="s">
        <v>24</v>
      </c>
      <c r="F153" s="20">
        <v>81</v>
      </c>
      <c r="G153" s="21">
        <v>81</v>
      </c>
      <c r="H153" s="21">
        <v>87</v>
      </c>
      <c r="I153" s="22">
        <f t="shared" si="4"/>
        <v>82</v>
      </c>
      <c r="J153" s="19" t="s">
        <v>25</v>
      </c>
    </row>
    <row r="154" spans="1:10" ht="33.950000000000003" customHeight="1" x14ac:dyDescent="0.25">
      <c r="A154" s="15">
        <v>153</v>
      </c>
      <c r="B154" s="15" t="s">
        <v>296</v>
      </c>
      <c r="C154" s="15" t="s">
        <v>120</v>
      </c>
      <c r="D154" s="15" t="s">
        <v>75</v>
      </c>
      <c r="E154" s="15" t="s">
        <v>24</v>
      </c>
      <c r="F154" s="16">
        <v>81</v>
      </c>
      <c r="G154" s="17">
        <v>81</v>
      </c>
      <c r="H154" s="17">
        <v>87</v>
      </c>
      <c r="I154" s="18">
        <f t="shared" si="4"/>
        <v>82</v>
      </c>
      <c r="J154" s="15" t="s">
        <v>25</v>
      </c>
    </row>
    <row r="155" spans="1:10" ht="33.950000000000003" customHeight="1" x14ac:dyDescent="0.25">
      <c r="A155" s="19">
        <v>154</v>
      </c>
      <c r="B155" s="19" t="s">
        <v>297</v>
      </c>
      <c r="C155" s="19" t="s">
        <v>50</v>
      </c>
      <c r="D155" s="19" t="s">
        <v>298</v>
      </c>
      <c r="E155" s="19" t="s">
        <v>24</v>
      </c>
      <c r="F155" s="20">
        <v>81</v>
      </c>
      <c r="G155" s="21">
        <v>81</v>
      </c>
      <c r="H155" s="21">
        <v>87</v>
      </c>
      <c r="I155" s="22">
        <f t="shared" si="4"/>
        <v>82</v>
      </c>
      <c r="J155" s="19" t="s">
        <v>25</v>
      </c>
    </row>
    <row r="156" spans="1:10" ht="33.950000000000003" customHeight="1" x14ac:dyDescent="0.25">
      <c r="A156" s="15">
        <v>155</v>
      </c>
      <c r="B156" s="15" t="s">
        <v>299</v>
      </c>
      <c r="C156" s="15" t="s">
        <v>300</v>
      </c>
      <c r="D156" s="15" t="s">
        <v>301</v>
      </c>
      <c r="E156" s="15" t="s">
        <v>24</v>
      </c>
      <c r="F156" s="16">
        <v>81</v>
      </c>
      <c r="G156" s="17">
        <v>81</v>
      </c>
      <c r="H156" s="17">
        <v>87</v>
      </c>
      <c r="I156" s="18">
        <f t="shared" si="4"/>
        <v>82</v>
      </c>
      <c r="J156" s="15" t="s">
        <v>25</v>
      </c>
    </row>
    <row r="157" spans="1:10" ht="33.950000000000003" customHeight="1" x14ac:dyDescent="0.25">
      <c r="A157" s="19">
        <v>156</v>
      </c>
      <c r="B157" s="19" t="s">
        <v>302</v>
      </c>
      <c r="C157" s="19" t="s">
        <v>43</v>
      </c>
      <c r="D157" s="19" t="s">
        <v>303</v>
      </c>
      <c r="E157" s="19" t="s">
        <v>24</v>
      </c>
      <c r="F157" s="20">
        <v>81</v>
      </c>
      <c r="G157" s="21">
        <v>81</v>
      </c>
      <c r="H157" s="21">
        <v>87</v>
      </c>
      <c r="I157" s="22">
        <f t="shared" si="4"/>
        <v>82</v>
      </c>
      <c r="J157" s="19" t="s">
        <v>25</v>
      </c>
    </row>
    <row r="158" spans="1:10" ht="33.950000000000003" customHeight="1" x14ac:dyDescent="0.25">
      <c r="A158" s="15">
        <v>157</v>
      </c>
      <c r="B158" s="15" t="s">
        <v>304</v>
      </c>
      <c r="C158" s="15" t="s">
        <v>50</v>
      </c>
      <c r="D158" s="15" t="s">
        <v>305</v>
      </c>
      <c r="E158" s="15" t="s">
        <v>24</v>
      </c>
      <c r="F158" s="16">
        <v>81</v>
      </c>
      <c r="G158" s="17">
        <v>81</v>
      </c>
      <c r="H158" s="17">
        <v>87</v>
      </c>
      <c r="I158" s="18">
        <f t="shared" si="4"/>
        <v>82</v>
      </c>
      <c r="J158" s="15" t="s">
        <v>25</v>
      </c>
    </row>
    <row r="159" spans="1:10" ht="33.950000000000003" customHeight="1" x14ac:dyDescent="0.25">
      <c r="A159" s="19">
        <v>158</v>
      </c>
      <c r="B159" s="19" t="s">
        <v>306</v>
      </c>
      <c r="C159" s="19" t="s">
        <v>53</v>
      </c>
      <c r="D159" s="19" t="s">
        <v>75</v>
      </c>
      <c r="E159" s="19" t="s">
        <v>24</v>
      </c>
      <c r="F159" s="20">
        <v>81</v>
      </c>
      <c r="G159" s="21">
        <v>81</v>
      </c>
      <c r="H159" s="21">
        <v>87</v>
      </c>
      <c r="I159" s="22">
        <f t="shared" si="4"/>
        <v>82</v>
      </c>
      <c r="J159" s="19" t="s">
        <v>25</v>
      </c>
    </row>
    <row r="160" spans="1:10" ht="33.950000000000003" customHeight="1" x14ac:dyDescent="0.25">
      <c r="A160" s="15">
        <v>159</v>
      </c>
      <c r="B160" s="15" t="s">
        <v>307</v>
      </c>
      <c r="C160" s="15" t="s">
        <v>35</v>
      </c>
      <c r="D160" s="15" t="s">
        <v>308</v>
      </c>
      <c r="E160" s="15" t="s">
        <v>24</v>
      </c>
      <c r="F160" s="16">
        <v>81</v>
      </c>
      <c r="G160" s="17">
        <v>81</v>
      </c>
      <c r="H160" s="17">
        <v>87</v>
      </c>
      <c r="I160" s="18">
        <f t="shared" si="4"/>
        <v>82</v>
      </c>
      <c r="J160" s="15" t="s">
        <v>25</v>
      </c>
    </row>
    <row r="161" spans="1:10" ht="33.950000000000003" customHeight="1" x14ac:dyDescent="0.25">
      <c r="A161" s="19">
        <v>160</v>
      </c>
      <c r="B161" s="19" t="s">
        <v>309</v>
      </c>
      <c r="C161" s="19" t="s">
        <v>61</v>
      </c>
      <c r="D161" s="19" t="s">
        <v>310</v>
      </c>
      <c r="E161" s="19" t="s">
        <v>24</v>
      </c>
      <c r="F161" s="20">
        <v>81</v>
      </c>
      <c r="G161" s="21">
        <v>81</v>
      </c>
      <c r="H161" s="21">
        <v>87</v>
      </c>
      <c r="I161" s="22">
        <f t="shared" si="4"/>
        <v>82</v>
      </c>
      <c r="J161" s="19" t="s">
        <v>25</v>
      </c>
    </row>
    <row r="162" spans="1:10" ht="33.950000000000003" customHeight="1" x14ac:dyDescent="0.25">
      <c r="A162" s="15">
        <v>161</v>
      </c>
      <c r="B162" s="15" t="s">
        <v>311</v>
      </c>
      <c r="C162" s="15" t="s">
        <v>33</v>
      </c>
      <c r="D162" s="15" t="s">
        <v>131</v>
      </c>
      <c r="E162" s="15" t="s">
        <v>24</v>
      </c>
      <c r="F162" s="16">
        <v>81</v>
      </c>
      <c r="G162" s="17">
        <v>81</v>
      </c>
      <c r="H162" s="17">
        <v>87</v>
      </c>
      <c r="I162" s="18">
        <f t="shared" ref="I162:I193" si="5">ROUND(F162*0.55+G162*0.3+H162*0.15,0)</f>
        <v>82</v>
      </c>
      <c r="J162" s="15" t="s">
        <v>25</v>
      </c>
    </row>
    <row r="163" spans="1:10" ht="33.950000000000003" customHeight="1" x14ac:dyDescent="0.25">
      <c r="A163" s="19">
        <v>162</v>
      </c>
      <c r="B163" s="19" t="s">
        <v>312</v>
      </c>
      <c r="C163" s="19" t="s">
        <v>33</v>
      </c>
      <c r="D163" s="19" t="s">
        <v>313</v>
      </c>
      <c r="E163" s="19" t="s">
        <v>24</v>
      </c>
      <c r="F163" s="20">
        <v>81</v>
      </c>
      <c r="G163" s="21">
        <v>81</v>
      </c>
      <c r="H163" s="21">
        <v>87</v>
      </c>
      <c r="I163" s="22">
        <f t="shared" si="5"/>
        <v>82</v>
      </c>
      <c r="J163" s="19" t="s">
        <v>25</v>
      </c>
    </row>
    <row r="164" spans="1:10" ht="33.950000000000003" customHeight="1" x14ac:dyDescent="0.25">
      <c r="A164" s="15">
        <v>163</v>
      </c>
      <c r="B164" s="15" t="s">
        <v>314</v>
      </c>
      <c r="C164" s="15" t="s">
        <v>86</v>
      </c>
      <c r="D164" s="15" t="s">
        <v>23</v>
      </c>
      <c r="E164" s="15" t="s">
        <v>24</v>
      </c>
      <c r="F164" s="16">
        <v>81</v>
      </c>
      <c r="G164" s="17">
        <v>81</v>
      </c>
      <c r="H164" s="17">
        <v>87</v>
      </c>
      <c r="I164" s="18">
        <f t="shared" si="5"/>
        <v>82</v>
      </c>
      <c r="J164" s="15" t="s">
        <v>25</v>
      </c>
    </row>
    <row r="165" spans="1:10" ht="33.950000000000003" customHeight="1" x14ac:dyDescent="0.25">
      <c r="A165" s="19">
        <v>164</v>
      </c>
      <c r="B165" s="19" t="s">
        <v>315</v>
      </c>
      <c r="C165" s="19" t="s">
        <v>50</v>
      </c>
      <c r="D165" s="19" t="s">
        <v>23</v>
      </c>
      <c r="E165" s="19" t="s">
        <v>24</v>
      </c>
      <c r="F165" s="20">
        <v>81</v>
      </c>
      <c r="G165" s="21">
        <v>81</v>
      </c>
      <c r="H165" s="21">
        <v>87</v>
      </c>
      <c r="I165" s="22">
        <f t="shared" si="5"/>
        <v>82</v>
      </c>
      <c r="J165" s="19" t="s">
        <v>25</v>
      </c>
    </row>
    <row r="166" spans="1:10" ht="33.950000000000003" customHeight="1" x14ac:dyDescent="0.25">
      <c r="A166" s="15">
        <v>165</v>
      </c>
      <c r="B166" s="15" t="s">
        <v>316</v>
      </c>
      <c r="C166" s="15" t="s">
        <v>82</v>
      </c>
      <c r="D166" s="15" t="s">
        <v>317</v>
      </c>
      <c r="E166" s="15" t="s">
        <v>24</v>
      </c>
      <c r="F166" s="16">
        <v>81</v>
      </c>
      <c r="G166" s="17">
        <v>81</v>
      </c>
      <c r="H166" s="17">
        <v>87</v>
      </c>
      <c r="I166" s="18">
        <f t="shared" si="5"/>
        <v>82</v>
      </c>
      <c r="J166" s="15" t="s">
        <v>25</v>
      </c>
    </row>
    <row r="167" spans="1:10" ht="33.950000000000003" customHeight="1" x14ac:dyDescent="0.25">
      <c r="A167" s="19">
        <v>166</v>
      </c>
      <c r="B167" s="19" t="s">
        <v>318</v>
      </c>
      <c r="C167" s="19" t="s">
        <v>35</v>
      </c>
      <c r="D167" s="19" t="s">
        <v>319</v>
      </c>
      <c r="E167" s="19" t="s">
        <v>24</v>
      </c>
      <c r="F167" s="20">
        <v>81</v>
      </c>
      <c r="G167" s="21">
        <v>81</v>
      </c>
      <c r="H167" s="21">
        <v>87</v>
      </c>
      <c r="I167" s="22">
        <f t="shared" si="5"/>
        <v>82</v>
      </c>
      <c r="J167" s="19" t="s">
        <v>25</v>
      </c>
    </row>
    <row r="168" spans="1:10" ht="33.950000000000003" customHeight="1" x14ac:dyDescent="0.25">
      <c r="A168" s="15">
        <v>167</v>
      </c>
      <c r="B168" s="15" t="s">
        <v>320</v>
      </c>
      <c r="C168" s="15" t="s">
        <v>53</v>
      </c>
      <c r="D168" s="15" t="s">
        <v>321</v>
      </c>
      <c r="E168" s="15" t="s">
        <v>24</v>
      </c>
      <c r="F168" s="16">
        <v>81</v>
      </c>
      <c r="G168" s="17">
        <v>81</v>
      </c>
      <c r="H168" s="17">
        <v>87</v>
      </c>
      <c r="I168" s="18">
        <f t="shared" si="5"/>
        <v>82</v>
      </c>
      <c r="J168" s="15" t="s">
        <v>25</v>
      </c>
    </row>
    <row r="169" spans="1:10" ht="33.950000000000003" customHeight="1" x14ac:dyDescent="0.25">
      <c r="A169" s="19">
        <v>168</v>
      </c>
      <c r="B169" s="19" t="s">
        <v>322</v>
      </c>
      <c r="C169" s="19" t="s">
        <v>61</v>
      </c>
      <c r="D169" s="19" t="s">
        <v>75</v>
      </c>
      <c r="E169" s="19" t="s">
        <v>24</v>
      </c>
      <c r="F169" s="20">
        <v>81</v>
      </c>
      <c r="G169" s="21">
        <v>81</v>
      </c>
      <c r="H169" s="21">
        <v>87</v>
      </c>
      <c r="I169" s="22">
        <f t="shared" si="5"/>
        <v>82</v>
      </c>
      <c r="J169" s="19" t="s">
        <v>25</v>
      </c>
    </row>
    <row r="170" spans="1:10" ht="33.950000000000003" customHeight="1" x14ac:dyDescent="0.25">
      <c r="A170" s="15">
        <v>169</v>
      </c>
      <c r="B170" s="15" t="s">
        <v>323</v>
      </c>
      <c r="C170" s="15" t="s">
        <v>37</v>
      </c>
      <c r="D170" s="15" t="s">
        <v>63</v>
      </c>
      <c r="E170" s="15" t="s">
        <v>24</v>
      </c>
      <c r="F170" s="16">
        <v>81</v>
      </c>
      <c r="G170" s="17">
        <v>81</v>
      </c>
      <c r="H170" s="17">
        <v>87</v>
      </c>
      <c r="I170" s="18">
        <f t="shared" si="5"/>
        <v>82</v>
      </c>
      <c r="J170" s="15" t="s">
        <v>25</v>
      </c>
    </row>
    <row r="171" spans="1:10" ht="33.950000000000003" customHeight="1" x14ac:dyDescent="0.25">
      <c r="A171" s="19">
        <v>170</v>
      </c>
      <c r="B171" s="19" t="s">
        <v>324</v>
      </c>
      <c r="C171" s="19" t="s">
        <v>53</v>
      </c>
      <c r="D171" s="19" t="s">
        <v>325</v>
      </c>
      <c r="E171" s="19" t="s">
        <v>24</v>
      </c>
      <c r="F171" s="20">
        <v>81</v>
      </c>
      <c r="G171" s="21">
        <v>81</v>
      </c>
      <c r="H171" s="21">
        <v>87</v>
      </c>
      <c r="I171" s="22">
        <f t="shared" si="5"/>
        <v>82</v>
      </c>
      <c r="J171" s="19" t="s">
        <v>25</v>
      </c>
    </row>
    <row r="172" spans="1:10" ht="33.950000000000003" customHeight="1" x14ac:dyDescent="0.25">
      <c r="A172" s="15">
        <v>171</v>
      </c>
      <c r="B172" s="15" t="s">
        <v>326</v>
      </c>
      <c r="C172" s="15" t="s">
        <v>50</v>
      </c>
      <c r="D172" s="15" t="s">
        <v>28</v>
      </c>
      <c r="E172" s="15" t="s">
        <v>24</v>
      </c>
      <c r="F172" s="16">
        <v>80</v>
      </c>
      <c r="G172" s="17">
        <v>80</v>
      </c>
      <c r="H172" s="17">
        <v>86</v>
      </c>
      <c r="I172" s="18">
        <f t="shared" si="5"/>
        <v>81</v>
      </c>
      <c r="J172" s="15" t="s">
        <v>25</v>
      </c>
    </row>
    <row r="173" spans="1:10" ht="33.950000000000003" customHeight="1" x14ac:dyDescent="0.25">
      <c r="A173" s="19">
        <v>172</v>
      </c>
      <c r="B173" s="19" t="s">
        <v>327</v>
      </c>
      <c r="C173" s="19" t="s">
        <v>328</v>
      </c>
      <c r="D173" s="19" t="s">
        <v>31</v>
      </c>
      <c r="E173" s="19" t="s">
        <v>24</v>
      </c>
      <c r="F173" s="20">
        <v>80</v>
      </c>
      <c r="G173" s="21">
        <v>80</v>
      </c>
      <c r="H173" s="21">
        <v>86</v>
      </c>
      <c r="I173" s="22">
        <f t="shared" si="5"/>
        <v>81</v>
      </c>
      <c r="J173" s="19" t="s">
        <v>25</v>
      </c>
    </row>
    <row r="174" spans="1:10" ht="33.950000000000003" customHeight="1" x14ac:dyDescent="0.25">
      <c r="A174" s="15">
        <v>173</v>
      </c>
      <c r="B174" s="15" t="s">
        <v>329</v>
      </c>
      <c r="C174" s="15" t="s">
        <v>257</v>
      </c>
      <c r="D174" s="15" t="s">
        <v>28</v>
      </c>
      <c r="E174" s="15" t="s">
        <v>24</v>
      </c>
      <c r="F174" s="16">
        <v>80</v>
      </c>
      <c r="G174" s="17">
        <v>80</v>
      </c>
      <c r="H174" s="17">
        <v>86</v>
      </c>
      <c r="I174" s="18">
        <f t="shared" si="5"/>
        <v>81</v>
      </c>
      <c r="J174" s="15" t="s">
        <v>25</v>
      </c>
    </row>
    <row r="175" spans="1:10" ht="33.950000000000003" customHeight="1" x14ac:dyDescent="0.25">
      <c r="A175" s="19">
        <v>174</v>
      </c>
      <c r="B175" s="19" t="s">
        <v>330</v>
      </c>
      <c r="C175" s="19" t="s">
        <v>50</v>
      </c>
      <c r="D175" s="19" t="s">
        <v>28</v>
      </c>
      <c r="E175" s="19" t="s">
        <v>24</v>
      </c>
      <c r="F175" s="20">
        <v>80</v>
      </c>
      <c r="G175" s="21">
        <v>80</v>
      </c>
      <c r="H175" s="21">
        <v>86</v>
      </c>
      <c r="I175" s="22">
        <f t="shared" si="5"/>
        <v>81</v>
      </c>
      <c r="J175" s="19" t="s">
        <v>25</v>
      </c>
    </row>
    <row r="176" spans="1:10" ht="33.950000000000003" customHeight="1" x14ac:dyDescent="0.25">
      <c r="A176" s="15">
        <v>175</v>
      </c>
      <c r="B176" s="15" t="s">
        <v>331</v>
      </c>
      <c r="C176" s="15" t="s">
        <v>35</v>
      </c>
      <c r="D176" s="15" t="s">
        <v>332</v>
      </c>
      <c r="E176" s="15" t="s">
        <v>24</v>
      </c>
      <c r="F176" s="16">
        <v>80</v>
      </c>
      <c r="G176" s="17">
        <v>80</v>
      </c>
      <c r="H176" s="17">
        <v>86</v>
      </c>
      <c r="I176" s="18">
        <f t="shared" si="5"/>
        <v>81</v>
      </c>
      <c r="J176" s="15" t="s">
        <v>25</v>
      </c>
    </row>
    <row r="177" spans="1:10" ht="33.950000000000003" customHeight="1" x14ac:dyDescent="0.25">
      <c r="A177" s="19">
        <v>176</v>
      </c>
      <c r="B177" s="19" t="s">
        <v>333</v>
      </c>
      <c r="C177" s="19" t="s">
        <v>334</v>
      </c>
      <c r="D177" s="19" t="s">
        <v>28</v>
      </c>
      <c r="E177" s="19" t="s">
        <v>24</v>
      </c>
      <c r="F177" s="20">
        <v>80</v>
      </c>
      <c r="G177" s="21">
        <v>80</v>
      </c>
      <c r="H177" s="21">
        <v>86</v>
      </c>
      <c r="I177" s="22">
        <f t="shared" si="5"/>
        <v>81</v>
      </c>
      <c r="J177" s="19" t="s">
        <v>25</v>
      </c>
    </row>
    <row r="178" spans="1:10" ht="33.950000000000003" customHeight="1" x14ac:dyDescent="0.25">
      <c r="A178" s="15">
        <v>177</v>
      </c>
      <c r="B178" s="15" t="s">
        <v>335</v>
      </c>
      <c r="C178" s="15" t="s">
        <v>50</v>
      </c>
      <c r="D178" s="15" t="s">
        <v>28</v>
      </c>
      <c r="E178" s="15" t="s">
        <v>24</v>
      </c>
      <c r="F178" s="16">
        <v>80</v>
      </c>
      <c r="G178" s="17">
        <v>80</v>
      </c>
      <c r="H178" s="17">
        <v>86</v>
      </c>
      <c r="I178" s="18">
        <f t="shared" si="5"/>
        <v>81</v>
      </c>
      <c r="J178" s="15" t="s">
        <v>25</v>
      </c>
    </row>
    <row r="179" spans="1:10" ht="33.950000000000003" customHeight="1" x14ac:dyDescent="0.25">
      <c r="A179" s="19">
        <v>178</v>
      </c>
      <c r="B179" s="19" t="s">
        <v>336</v>
      </c>
      <c r="C179" s="19" t="s">
        <v>337</v>
      </c>
      <c r="D179" s="19" t="s">
        <v>338</v>
      </c>
      <c r="E179" s="19" t="s">
        <v>24</v>
      </c>
      <c r="F179" s="20">
        <v>80</v>
      </c>
      <c r="G179" s="21">
        <v>80</v>
      </c>
      <c r="H179" s="21">
        <v>86</v>
      </c>
      <c r="I179" s="22">
        <f t="shared" si="5"/>
        <v>81</v>
      </c>
      <c r="J179" s="19" t="s">
        <v>25</v>
      </c>
    </row>
    <row r="180" spans="1:10" ht="33.950000000000003" customHeight="1" x14ac:dyDescent="0.25">
      <c r="A180" s="15">
        <v>179</v>
      </c>
      <c r="B180" s="15" t="s">
        <v>339</v>
      </c>
      <c r="C180" s="15" t="s">
        <v>89</v>
      </c>
      <c r="D180" s="15" t="s">
        <v>28</v>
      </c>
      <c r="E180" s="15" t="s">
        <v>24</v>
      </c>
      <c r="F180" s="16">
        <v>80</v>
      </c>
      <c r="G180" s="17">
        <v>80</v>
      </c>
      <c r="H180" s="17">
        <v>86</v>
      </c>
      <c r="I180" s="18">
        <f t="shared" si="5"/>
        <v>81</v>
      </c>
      <c r="J180" s="15" t="s">
        <v>25</v>
      </c>
    </row>
    <row r="181" spans="1:10" ht="33.950000000000003" customHeight="1" x14ac:dyDescent="0.25">
      <c r="A181" s="19">
        <v>180</v>
      </c>
      <c r="B181" s="19" t="s">
        <v>340</v>
      </c>
      <c r="C181" s="19" t="s">
        <v>86</v>
      </c>
      <c r="D181" s="19" t="s">
        <v>28</v>
      </c>
      <c r="E181" s="19" t="s">
        <v>24</v>
      </c>
      <c r="F181" s="20">
        <v>80</v>
      </c>
      <c r="G181" s="21">
        <v>80</v>
      </c>
      <c r="H181" s="21">
        <v>86</v>
      </c>
      <c r="I181" s="22">
        <f t="shared" si="5"/>
        <v>81</v>
      </c>
      <c r="J181" s="19" t="s">
        <v>25</v>
      </c>
    </row>
    <row r="182" spans="1:10" ht="33.950000000000003" customHeight="1" x14ac:dyDescent="0.25">
      <c r="A182" s="15">
        <v>181</v>
      </c>
      <c r="B182" s="15" t="s">
        <v>341</v>
      </c>
      <c r="C182" s="15" t="s">
        <v>33</v>
      </c>
      <c r="D182" s="15" t="s">
        <v>28</v>
      </c>
      <c r="E182" s="15" t="s">
        <v>24</v>
      </c>
      <c r="F182" s="16">
        <v>80</v>
      </c>
      <c r="G182" s="17">
        <v>80</v>
      </c>
      <c r="H182" s="17">
        <v>86</v>
      </c>
      <c r="I182" s="18">
        <f t="shared" si="5"/>
        <v>81</v>
      </c>
      <c r="J182" s="15" t="s">
        <v>25</v>
      </c>
    </row>
    <row r="183" spans="1:10" ht="33.950000000000003" customHeight="1" x14ac:dyDescent="0.25">
      <c r="A183" s="19">
        <v>182</v>
      </c>
      <c r="B183" s="19" t="s">
        <v>342</v>
      </c>
      <c r="C183" s="19" t="s">
        <v>35</v>
      </c>
      <c r="D183" s="19" t="s">
        <v>28</v>
      </c>
      <c r="E183" s="19" t="s">
        <v>24</v>
      </c>
      <c r="F183" s="20">
        <v>80</v>
      </c>
      <c r="G183" s="21">
        <v>80</v>
      </c>
      <c r="H183" s="21">
        <v>86</v>
      </c>
      <c r="I183" s="22">
        <f t="shared" si="5"/>
        <v>81</v>
      </c>
      <c r="J183" s="19" t="s">
        <v>25</v>
      </c>
    </row>
    <row r="184" spans="1:10" ht="33.950000000000003" customHeight="1" x14ac:dyDescent="0.25">
      <c r="A184" s="15">
        <v>183</v>
      </c>
      <c r="B184" s="15" t="s">
        <v>343</v>
      </c>
      <c r="C184" s="15" t="s">
        <v>61</v>
      </c>
      <c r="D184" s="15" t="s">
        <v>344</v>
      </c>
      <c r="E184" s="15" t="s">
        <v>24</v>
      </c>
      <c r="F184" s="16">
        <v>80</v>
      </c>
      <c r="G184" s="17">
        <v>80</v>
      </c>
      <c r="H184" s="17">
        <v>86</v>
      </c>
      <c r="I184" s="18">
        <f t="shared" si="5"/>
        <v>81</v>
      </c>
      <c r="J184" s="15" t="s">
        <v>25</v>
      </c>
    </row>
    <row r="185" spans="1:10" ht="33.950000000000003" customHeight="1" x14ac:dyDescent="0.25">
      <c r="A185" s="19">
        <v>184</v>
      </c>
      <c r="B185" s="19" t="s">
        <v>345</v>
      </c>
      <c r="C185" s="19" t="s">
        <v>43</v>
      </c>
      <c r="D185" s="19" t="s">
        <v>346</v>
      </c>
      <c r="E185" s="19" t="s">
        <v>24</v>
      </c>
      <c r="F185" s="20">
        <v>80</v>
      </c>
      <c r="G185" s="21">
        <v>80</v>
      </c>
      <c r="H185" s="21">
        <v>86</v>
      </c>
      <c r="I185" s="22">
        <f t="shared" si="5"/>
        <v>81</v>
      </c>
      <c r="J185" s="19" t="s">
        <v>25</v>
      </c>
    </row>
    <row r="186" spans="1:10" ht="33.950000000000003" customHeight="1" x14ac:dyDescent="0.25">
      <c r="A186" s="15">
        <v>185</v>
      </c>
      <c r="B186" s="15" t="s">
        <v>347</v>
      </c>
      <c r="C186" s="15" t="s">
        <v>86</v>
      </c>
      <c r="D186" s="15" t="s">
        <v>348</v>
      </c>
      <c r="E186" s="15" t="s">
        <v>24</v>
      </c>
      <c r="F186" s="16">
        <v>80</v>
      </c>
      <c r="G186" s="17">
        <v>80</v>
      </c>
      <c r="H186" s="17">
        <v>86</v>
      </c>
      <c r="I186" s="18">
        <f t="shared" si="5"/>
        <v>81</v>
      </c>
      <c r="J186" s="15" t="s">
        <v>25</v>
      </c>
    </row>
    <row r="187" spans="1:10" ht="33.950000000000003" customHeight="1" x14ac:dyDescent="0.25">
      <c r="A187" s="19">
        <v>186</v>
      </c>
      <c r="B187" s="19" t="s">
        <v>349</v>
      </c>
      <c r="C187" s="19" t="s">
        <v>43</v>
      </c>
      <c r="D187" s="19" t="s">
        <v>350</v>
      </c>
      <c r="E187" s="19" t="s">
        <v>24</v>
      </c>
      <c r="F187" s="20">
        <v>80</v>
      </c>
      <c r="G187" s="21">
        <v>80</v>
      </c>
      <c r="H187" s="21">
        <v>86</v>
      </c>
      <c r="I187" s="22">
        <f t="shared" si="5"/>
        <v>81</v>
      </c>
      <c r="J187" s="19" t="s">
        <v>25</v>
      </c>
    </row>
    <row r="188" spans="1:10" ht="33.950000000000003" customHeight="1" x14ac:dyDescent="0.25">
      <c r="A188" s="15">
        <v>187</v>
      </c>
      <c r="B188" s="15" t="s">
        <v>351</v>
      </c>
      <c r="C188" s="15" t="s">
        <v>352</v>
      </c>
      <c r="D188" s="15" t="s">
        <v>353</v>
      </c>
      <c r="E188" s="15" t="s">
        <v>24</v>
      </c>
      <c r="F188" s="16">
        <v>80</v>
      </c>
      <c r="G188" s="17">
        <v>80</v>
      </c>
      <c r="H188" s="17">
        <v>86</v>
      </c>
      <c r="I188" s="18">
        <f t="shared" si="5"/>
        <v>81</v>
      </c>
      <c r="J188" s="15" t="s">
        <v>25</v>
      </c>
    </row>
    <row r="189" spans="1:10" ht="33.950000000000003" customHeight="1" x14ac:dyDescent="0.25">
      <c r="A189" s="19">
        <v>188</v>
      </c>
      <c r="B189" s="19" t="s">
        <v>354</v>
      </c>
      <c r="C189" s="19" t="s">
        <v>50</v>
      </c>
      <c r="D189" s="19" t="s">
        <v>143</v>
      </c>
      <c r="E189" s="19" t="s">
        <v>24</v>
      </c>
      <c r="F189" s="20">
        <v>80</v>
      </c>
      <c r="G189" s="21">
        <v>80</v>
      </c>
      <c r="H189" s="21">
        <v>86</v>
      </c>
      <c r="I189" s="22">
        <f t="shared" si="5"/>
        <v>81</v>
      </c>
      <c r="J189" s="19" t="s">
        <v>25</v>
      </c>
    </row>
    <row r="190" spans="1:10" ht="33.950000000000003" customHeight="1" x14ac:dyDescent="0.25">
      <c r="A190" s="15">
        <v>189</v>
      </c>
      <c r="B190" s="15" t="s">
        <v>355</v>
      </c>
      <c r="C190" s="15" t="s">
        <v>56</v>
      </c>
      <c r="D190" s="15" t="s">
        <v>356</v>
      </c>
      <c r="E190" s="15" t="s">
        <v>24</v>
      </c>
      <c r="F190" s="16">
        <v>80</v>
      </c>
      <c r="G190" s="17">
        <v>80</v>
      </c>
      <c r="H190" s="17">
        <v>86</v>
      </c>
      <c r="I190" s="18">
        <f t="shared" si="5"/>
        <v>81</v>
      </c>
      <c r="J190" s="15" t="s">
        <v>25</v>
      </c>
    </row>
    <row r="191" spans="1:10" ht="33.950000000000003" customHeight="1" x14ac:dyDescent="0.25">
      <c r="A191" s="19">
        <v>190</v>
      </c>
      <c r="B191" s="19" t="s">
        <v>357</v>
      </c>
      <c r="C191" s="19" t="s">
        <v>58</v>
      </c>
      <c r="D191" s="19" t="s">
        <v>356</v>
      </c>
      <c r="E191" s="19" t="s">
        <v>24</v>
      </c>
      <c r="F191" s="20">
        <v>80</v>
      </c>
      <c r="G191" s="21">
        <v>80</v>
      </c>
      <c r="H191" s="21">
        <v>86</v>
      </c>
      <c r="I191" s="22">
        <f t="shared" si="5"/>
        <v>81</v>
      </c>
      <c r="J191" s="19" t="s">
        <v>25</v>
      </c>
    </row>
    <row r="192" spans="1:10" ht="33.950000000000003" customHeight="1" x14ac:dyDescent="0.25">
      <c r="A192" s="15">
        <v>191</v>
      </c>
      <c r="B192" s="15" t="s">
        <v>358</v>
      </c>
      <c r="C192" s="15" t="s">
        <v>337</v>
      </c>
      <c r="D192" s="15" t="s">
        <v>223</v>
      </c>
      <c r="E192" s="15" t="s">
        <v>24</v>
      </c>
      <c r="F192" s="16">
        <v>79</v>
      </c>
      <c r="G192" s="17">
        <v>79</v>
      </c>
      <c r="H192" s="17">
        <v>85</v>
      </c>
      <c r="I192" s="18">
        <f t="shared" si="5"/>
        <v>80</v>
      </c>
      <c r="J192" s="15" t="s">
        <v>25</v>
      </c>
    </row>
    <row r="193" spans="1:10" ht="33.950000000000003" customHeight="1" x14ac:dyDescent="0.25">
      <c r="A193" s="19">
        <v>192</v>
      </c>
      <c r="B193" s="19" t="s">
        <v>359</v>
      </c>
      <c r="C193" s="19" t="s">
        <v>86</v>
      </c>
      <c r="D193" s="19" t="s">
        <v>220</v>
      </c>
      <c r="E193" s="19" t="s">
        <v>24</v>
      </c>
      <c r="F193" s="20">
        <v>79</v>
      </c>
      <c r="G193" s="21">
        <v>79</v>
      </c>
      <c r="H193" s="21">
        <v>85</v>
      </c>
      <c r="I193" s="22">
        <f t="shared" si="5"/>
        <v>80</v>
      </c>
      <c r="J193" s="19" t="s">
        <v>25</v>
      </c>
    </row>
    <row r="194" spans="1:10" ht="33.950000000000003" customHeight="1" x14ac:dyDescent="0.25">
      <c r="A194" s="15">
        <v>193</v>
      </c>
      <c r="B194" s="15" t="s">
        <v>360</v>
      </c>
      <c r="C194" s="15" t="s">
        <v>50</v>
      </c>
      <c r="D194" s="15" t="s">
        <v>28</v>
      </c>
      <c r="E194" s="15" t="s">
        <v>24</v>
      </c>
      <c r="F194" s="16">
        <v>79</v>
      </c>
      <c r="G194" s="17">
        <v>79</v>
      </c>
      <c r="H194" s="17">
        <v>85</v>
      </c>
      <c r="I194" s="18">
        <f t="shared" ref="I194:I225" si="6">ROUND(F194*0.55+G194*0.3+H194*0.15,0)</f>
        <v>80</v>
      </c>
      <c r="J194" s="15" t="s">
        <v>25</v>
      </c>
    </row>
    <row r="195" spans="1:10" ht="33.950000000000003" customHeight="1" x14ac:dyDescent="0.25">
      <c r="A195" s="19">
        <v>194</v>
      </c>
      <c r="B195" s="19" t="s">
        <v>361</v>
      </c>
      <c r="C195" s="19" t="s">
        <v>362</v>
      </c>
      <c r="D195" s="19" t="s">
        <v>23</v>
      </c>
      <c r="E195" s="19" t="s">
        <v>24</v>
      </c>
      <c r="F195" s="20">
        <v>79</v>
      </c>
      <c r="G195" s="21">
        <v>79</v>
      </c>
      <c r="H195" s="21">
        <v>85</v>
      </c>
      <c r="I195" s="22">
        <f t="shared" si="6"/>
        <v>80</v>
      </c>
      <c r="J195" s="19" t="s">
        <v>25</v>
      </c>
    </row>
    <row r="196" spans="1:10" ht="33.950000000000003" customHeight="1" x14ac:dyDescent="0.25">
      <c r="A196" s="15">
        <v>195</v>
      </c>
      <c r="B196" s="15" t="s">
        <v>363</v>
      </c>
      <c r="C196" s="15" t="s">
        <v>58</v>
      </c>
      <c r="D196" s="15" t="s">
        <v>23</v>
      </c>
      <c r="E196" s="15" t="s">
        <v>24</v>
      </c>
      <c r="F196" s="16">
        <v>79</v>
      </c>
      <c r="G196" s="17">
        <v>79</v>
      </c>
      <c r="H196" s="17">
        <v>85</v>
      </c>
      <c r="I196" s="18">
        <f t="shared" si="6"/>
        <v>80</v>
      </c>
      <c r="J196" s="15" t="s">
        <v>25</v>
      </c>
    </row>
    <row r="197" spans="1:10" ht="33.950000000000003" customHeight="1" x14ac:dyDescent="0.25">
      <c r="A197" s="19">
        <v>196</v>
      </c>
      <c r="B197" s="19" t="s">
        <v>364</v>
      </c>
      <c r="C197" s="19" t="s">
        <v>58</v>
      </c>
      <c r="D197" s="19" t="s">
        <v>23</v>
      </c>
      <c r="E197" s="19" t="s">
        <v>24</v>
      </c>
      <c r="F197" s="20">
        <v>79</v>
      </c>
      <c r="G197" s="21">
        <v>79</v>
      </c>
      <c r="H197" s="21">
        <v>85</v>
      </c>
      <c r="I197" s="22">
        <f t="shared" si="6"/>
        <v>80</v>
      </c>
      <c r="J197" s="19" t="s">
        <v>25</v>
      </c>
    </row>
    <row r="198" spans="1:10" ht="33.950000000000003" customHeight="1" x14ac:dyDescent="0.25">
      <c r="A198" s="15">
        <v>197</v>
      </c>
      <c r="B198" s="15" t="s">
        <v>365</v>
      </c>
      <c r="C198" s="15" t="s">
        <v>43</v>
      </c>
      <c r="D198" s="15" t="s">
        <v>131</v>
      </c>
      <c r="E198" s="15" t="s">
        <v>24</v>
      </c>
      <c r="F198" s="16">
        <v>79</v>
      </c>
      <c r="G198" s="17">
        <v>79</v>
      </c>
      <c r="H198" s="17">
        <v>85</v>
      </c>
      <c r="I198" s="18">
        <f t="shared" si="6"/>
        <v>80</v>
      </c>
      <c r="J198" s="15" t="s">
        <v>25</v>
      </c>
    </row>
    <row r="199" spans="1:10" ht="33.950000000000003" customHeight="1" x14ac:dyDescent="0.25">
      <c r="A199" s="19">
        <v>198</v>
      </c>
      <c r="B199" s="19" t="s">
        <v>366</v>
      </c>
      <c r="C199" s="19" t="s">
        <v>367</v>
      </c>
      <c r="D199" s="19" t="s">
        <v>28</v>
      </c>
      <c r="E199" s="19" t="s">
        <v>24</v>
      </c>
      <c r="F199" s="20">
        <v>79</v>
      </c>
      <c r="G199" s="21">
        <v>79</v>
      </c>
      <c r="H199" s="21">
        <v>85</v>
      </c>
      <c r="I199" s="22">
        <f t="shared" si="6"/>
        <v>80</v>
      </c>
      <c r="J199" s="19" t="s">
        <v>25</v>
      </c>
    </row>
    <row r="200" spans="1:10" ht="33.950000000000003" customHeight="1" x14ac:dyDescent="0.25">
      <c r="A200" s="15">
        <v>199</v>
      </c>
      <c r="B200" s="15" t="s">
        <v>368</v>
      </c>
      <c r="C200" s="15" t="s">
        <v>209</v>
      </c>
      <c r="D200" s="15" t="s">
        <v>31</v>
      </c>
      <c r="E200" s="15" t="s">
        <v>24</v>
      </c>
      <c r="F200" s="16">
        <v>79</v>
      </c>
      <c r="G200" s="17">
        <v>79</v>
      </c>
      <c r="H200" s="17">
        <v>85</v>
      </c>
      <c r="I200" s="18">
        <f t="shared" si="6"/>
        <v>80</v>
      </c>
      <c r="J200" s="15" t="s">
        <v>25</v>
      </c>
    </row>
    <row r="201" spans="1:10" ht="33.950000000000003" customHeight="1" x14ac:dyDescent="0.25">
      <c r="A201" s="19">
        <v>200</v>
      </c>
      <c r="B201" s="19" t="s">
        <v>369</v>
      </c>
      <c r="C201" s="19" t="s">
        <v>284</v>
      </c>
      <c r="D201" s="19" t="s">
        <v>370</v>
      </c>
      <c r="E201" s="19" t="s">
        <v>24</v>
      </c>
      <c r="F201" s="20">
        <v>79</v>
      </c>
      <c r="G201" s="21">
        <v>79</v>
      </c>
      <c r="H201" s="21">
        <v>85</v>
      </c>
      <c r="I201" s="22">
        <f t="shared" si="6"/>
        <v>80</v>
      </c>
      <c r="J201" s="19" t="s">
        <v>25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20" customWidth="1"/>
    <col min="6" max="7" width="13" customWidth="1"/>
    <col min="8" max="8" width="15" customWidth="1"/>
    <col min="9" max="9" width="14" customWidth="1"/>
    <col min="10" max="10" width="76" customWidth="1"/>
  </cols>
  <sheetData>
    <row r="1" spans="1:10" ht="30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33.950000000000003" customHeight="1" x14ac:dyDescent="0.25">
      <c r="A2" s="3">
        <v>1</v>
      </c>
      <c r="B2" s="3" t="s">
        <v>371</v>
      </c>
      <c r="C2" s="3" t="s">
        <v>372</v>
      </c>
      <c r="D2" s="3" t="s">
        <v>373</v>
      </c>
      <c r="E2" s="3" t="s">
        <v>24</v>
      </c>
      <c r="F2" s="4">
        <v>100</v>
      </c>
      <c r="G2" s="5">
        <v>100</v>
      </c>
      <c r="H2" s="5">
        <v>96</v>
      </c>
      <c r="I2" s="6">
        <f t="shared" ref="I2:I33" si="0">ROUND(F2*0.55+G2*0.3+H2*0.15,0)</f>
        <v>99</v>
      </c>
      <c r="J2" s="3" t="s">
        <v>374</v>
      </c>
    </row>
    <row r="3" spans="1:10" ht="33.950000000000003" customHeight="1" x14ac:dyDescent="0.25">
      <c r="A3" s="3">
        <v>2</v>
      </c>
      <c r="B3" s="3" t="s">
        <v>375</v>
      </c>
      <c r="C3" s="3" t="s">
        <v>234</v>
      </c>
      <c r="D3" s="3" t="s">
        <v>376</v>
      </c>
      <c r="E3" s="3" t="s">
        <v>24</v>
      </c>
      <c r="F3" s="4">
        <v>100</v>
      </c>
      <c r="G3" s="5">
        <v>100</v>
      </c>
      <c r="H3" s="5">
        <v>95</v>
      </c>
      <c r="I3" s="6">
        <f t="shared" si="0"/>
        <v>99</v>
      </c>
      <c r="J3" s="3" t="s">
        <v>374</v>
      </c>
    </row>
    <row r="4" spans="1:10" ht="33.950000000000003" customHeight="1" x14ac:dyDescent="0.25">
      <c r="A4" s="3">
        <v>3</v>
      </c>
      <c r="B4" s="3" t="s">
        <v>377</v>
      </c>
      <c r="C4" s="3" t="s">
        <v>378</v>
      </c>
      <c r="D4" s="3" t="s">
        <v>379</v>
      </c>
      <c r="E4" s="3" t="s">
        <v>24</v>
      </c>
      <c r="F4" s="4">
        <v>99</v>
      </c>
      <c r="G4" s="5">
        <v>99</v>
      </c>
      <c r="H4" s="5">
        <v>95</v>
      </c>
      <c r="I4" s="6">
        <f t="shared" si="0"/>
        <v>98</v>
      </c>
      <c r="J4" s="3" t="s">
        <v>374</v>
      </c>
    </row>
    <row r="5" spans="1:10" ht="33.950000000000003" customHeight="1" x14ac:dyDescent="0.25">
      <c r="A5" s="3">
        <v>4</v>
      </c>
      <c r="B5" s="3" t="s">
        <v>380</v>
      </c>
      <c r="C5" s="3" t="s">
        <v>378</v>
      </c>
      <c r="D5" s="3" t="s">
        <v>381</v>
      </c>
      <c r="E5" s="3" t="s">
        <v>24</v>
      </c>
      <c r="F5" s="4">
        <v>99</v>
      </c>
      <c r="G5" s="5">
        <v>99</v>
      </c>
      <c r="H5" s="5">
        <v>94</v>
      </c>
      <c r="I5" s="6">
        <f t="shared" si="0"/>
        <v>98</v>
      </c>
      <c r="J5" s="3" t="s">
        <v>374</v>
      </c>
    </row>
    <row r="6" spans="1:10" ht="33.950000000000003" customHeight="1" x14ac:dyDescent="0.25">
      <c r="A6" s="3">
        <v>5</v>
      </c>
      <c r="B6" s="3" t="s">
        <v>382</v>
      </c>
      <c r="C6" s="3" t="s">
        <v>53</v>
      </c>
      <c r="D6" s="3" t="s">
        <v>383</v>
      </c>
      <c r="E6" s="3" t="s">
        <v>24</v>
      </c>
      <c r="F6" s="4">
        <v>99</v>
      </c>
      <c r="G6" s="5">
        <v>99</v>
      </c>
      <c r="H6" s="5">
        <v>94</v>
      </c>
      <c r="I6" s="6">
        <f t="shared" si="0"/>
        <v>98</v>
      </c>
      <c r="J6" s="3" t="s">
        <v>374</v>
      </c>
    </row>
    <row r="7" spans="1:10" ht="33.950000000000003" customHeight="1" x14ac:dyDescent="0.25">
      <c r="A7" s="3">
        <v>6</v>
      </c>
      <c r="B7" s="3" t="s">
        <v>384</v>
      </c>
      <c r="C7" s="3" t="s">
        <v>385</v>
      </c>
      <c r="D7" s="3" t="s">
        <v>386</v>
      </c>
      <c r="E7" s="3" t="s">
        <v>24</v>
      </c>
      <c r="F7" s="4">
        <v>99</v>
      </c>
      <c r="G7" s="5">
        <v>98</v>
      </c>
      <c r="H7" s="5">
        <v>93</v>
      </c>
      <c r="I7" s="6">
        <f t="shared" si="0"/>
        <v>98</v>
      </c>
      <c r="J7" s="3" t="s">
        <v>374</v>
      </c>
    </row>
    <row r="8" spans="1:10" ht="33.950000000000003" customHeight="1" x14ac:dyDescent="0.25">
      <c r="A8" s="3">
        <v>7</v>
      </c>
      <c r="B8" s="3" t="s">
        <v>387</v>
      </c>
      <c r="C8" s="3" t="s">
        <v>120</v>
      </c>
      <c r="D8" s="3" t="s">
        <v>386</v>
      </c>
      <c r="E8" s="3" t="s">
        <v>24</v>
      </c>
      <c r="F8" s="4">
        <v>99</v>
      </c>
      <c r="G8" s="5">
        <v>98</v>
      </c>
      <c r="H8" s="5">
        <v>93</v>
      </c>
      <c r="I8" s="6">
        <f t="shared" si="0"/>
        <v>98</v>
      </c>
      <c r="J8" s="3" t="s">
        <v>374</v>
      </c>
    </row>
    <row r="9" spans="1:10" ht="33.950000000000003" customHeight="1" x14ac:dyDescent="0.25">
      <c r="A9" s="3">
        <v>8</v>
      </c>
      <c r="B9" s="3" t="s">
        <v>38</v>
      </c>
      <c r="C9" s="3" t="s">
        <v>39</v>
      </c>
      <c r="D9" s="3" t="s">
        <v>386</v>
      </c>
      <c r="E9" s="3" t="s">
        <v>24</v>
      </c>
      <c r="F9" s="4">
        <v>99</v>
      </c>
      <c r="G9" s="5">
        <v>98</v>
      </c>
      <c r="H9" s="5">
        <v>93</v>
      </c>
      <c r="I9" s="6">
        <f t="shared" si="0"/>
        <v>98</v>
      </c>
      <c r="J9" s="3" t="s">
        <v>374</v>
      </c>
    </row>
    <row r="10" spans="1:10" ht="33.950000000000003" customHeight="1" x14ac:dyDescent="0.25">
      <c r="A10" s="3">
        <v>9</v>
      </c>
      <c r="B10" s="3" t="s">
        <v>62</v>
      </c>
      <c r="C10" s="3" t="s">
        <v>43</v>
      </c>
      <c r="D10" s="3" t="s">
        <v>388</v>
      </c>
      <c r="E10" s="3" t="s">
        <v>24</v>
      </c>
      <c r="F10" s="4">
        <v>98</v>
      </c>
      <c r="G10" s="5">
        <v>97</v>
      </c>
      <c r="H10" s="5">
        <v>92</v>
      </c>
      <c r="I10" s="6">
        <f t="shared" si="0"/>
        <v>97</v>
      </c>
      <c r="J10" s="3" t="s">
        <v>374</v>
      </c>
    </row>
    <row r="11" spans="1:10" ht="33.950000000000003" customHeight="1" x14ac:dyDescent="0.25">
      <c r="A11" s="3">
        <v>10</v>
      </c>
      <c r="B11" s="3" t="s">
        <v>389</v>
      </c>
      <c r="C11" s="3" t="s">
        <v>43</v>
      </c>
      <c r="D11" s="3" t="s">
        <v>376</v>
      </c>
      <c r="E11" s="3" t="s">
        <v>24</v>
      </c>
      <c r="F11" s="4">
        <v>98</v>
      </c>
      <c r="G11" s="5">
        <v>97</v>
      </c>
      <c r="H11" s="5">
        <v>92</v>
      </c>
      <c r="I11" s="6">
        <f t="shared" si="0"/>
        <v>97</v>
      </c>
      <c r="J11" s="3" t="s">
        <v>374</v>
      </c>
    </row>
    <row r="12" spans="1:10" ht="33.950000000000003" customHeight="1" x14ac:dyDescent="0.25">
      <c r="A12" s="7">
        <v>11</v>
      </c>
      <c r="B12" s="7" t="s">
        <v>390</v>
      </c>
      <c r="C12" s="7" t="s">
        <v>50</v>
      </c>
      <c r="D12" s="7" t="s">
        <v>376</v>
      </c>
      <c r="E12" s="7" t="s">
        <v>24</v>
      </c>
      <c r="F12" s="8">
        <v>97</v>
      </c>
      <c r="G12" s="9">
        <v>96</v>
      </c>
      <c r="H12" s="9">
        <v>91</v>
      </c>
      <c r="I12" s="10">
        <f t="shared" si="0"/>
        <v>96</v>
      </c>
      <c r="J12" s="7" t="s">
        <v>374</v>
      </c>
    </row>
    <row r="13" spans="1:10" ht="33.950000000000003" customHeight="1" x14ac:dyDescent="0.25">
      <c r="A13" s="7">
        <v>12</v>
      </c>
      <c r="B13" s="7" t="s">
        <v>391</v>
      </c>
      <c r="C13" s="7" t="s">
        <v>385</v>
      </c>
      <c r="D13" s="7" t="s">
        <v>392</v>
      </c>
      <c r="E13" s="7" t="s">
        <v>24</v>
      </c>
      <c r="F13" s="8">
        <v>97</v>
      </c>
      <c r="G13" s="9">
        <v>96</v>
      </c>
      <c r="H13" s="9">
        <v>91</v>
      </c>
      <c r="I13" s="10">
        <f t="shared" si="0"/>
        <v>96</v>
      </c>
      <c r="J13" s="7" t="s">
        <v>374</v>
      </c>
    </row>
    <row r="14" spans="1:10" ht="33.950000000000003" customHeight="1" x14ac:dyDescent="0.25">
      <c r="A14" s="7">
        <v>13</v>
      </c>
      <c r="B14" s="7" t="s">
        <v>393</v>
      </c>
      <c r="C14" s="7" t="s">
        <v>43</v>
      </c>
      <c r="D14" s="7" t="s">
        <v>394</v>
      </c>
      <c r="E14" s="7" t="s">
        <v>24</v>
      </c>
      <c r="F14" s="8">
        <v>97</v>
      </c>
      <c r="G14" s="9">
        <v>96</v>
      </c>
      <c r="H14" s="9">
        <v>91</v>
      </c>
      <c r="I14" s="10">
        <f t="shared" si="0"/>
        <v>96</v>
      </c>
      <c r="J14" s="7" t="s">
        <v>374</v>
      </c>
    </row>
    <row r="15" spans="1:10" ht="33.950000000000003" customHeight="1" x14ac:dyDescent="0.25">
      <c r="A15" s="7">
        <v>14</v>
      </c>
      <c r="B15" s="7" t="s">
        <v>395</v>
      </c>
      <c r="C15" s="7" t="s">
        <v>43</v>
      </c>
      <c r="D15" s="7" t="s">
        <v>396</v>
      </c>
      <c r="E15" s="7" t="s">
        <v>24</v>
      </c>
      <c r="F15" s="8">
        <v>97</v>
      </c>
      <c r="G15" s="9">
        <v>96</v>
      </c>
      <c r="H15" s="9">
        <v>91</v>
      </c>
      <c r="I15" s="10">
        <f t="shared" si="0"/>
        <v>96</v>
      </c>
      <c r="J15" s="7" t="s">
        <v>374</v>
      </c>
    </row>
    <row r="16" spans="1:10" ht="33.950000000000003" customHeight="1" x14ac:dyDescent="0.25">
      <c r="A16" s="7">
        <v>15</v>
      </c>
      <c r="B16" s="7" t="s">
        <v>397</v>
      </c>
      <c r="C16" s="7" t="s">
        <v>120</v>
      </c>
      <c r="D16" s="7" t="s">
        <v>398</v>
      </c>
      <c r="E16" s="7" t="s">
        <v>24</v>
      </c>
      <c r="F16" s="8">
        <v>97</v>
      </c>
      <c r="G16" s="9">
        <v>96</v>
      </c>
      <c r="H16" s="9">
        <v>91</v>
      </c>
      <c r="I16" s="10">
        <f t="shared" si="0"/>
        <v>96</v>
      </c>
      <c r="J16" s="7" t="s">
        <v>374</v>
      </c>
    </row>
    <row r="17" spans="1:10" ht="33.950000000000003" customHeight="1" x14ac:dyDescent="0.25">
      <c r="A17" s="7">
        <v>16</v>
      </c>
      <c r="B17" s="7" t="s">
        <v>399</v>
      </c>
      <c r="C17" s="7" t="s">
        <v>105</v>
      </c>
      <c r="D17" s="7" t="s">
        <v>400</v>
      </c>
      <c r="E17" s="7" t="s">
        <v>24</v>
      </c>
      <c r="F17" s="8">
        <v>96</v>
      </c>
      <c r="G17" s="9">
        <v>95</v>
      </c>
      <c r="H17" s="9">
        <v>90</v>
      </c>
      <c r="I17" s="10">
        <f t="shared" si="0"/>
        <v>95</v>
      </c>
      <c r="J17" s="7" t="s">
        <v>374</v>
      </c>
    </row>
    <row r="18" spans="1:10" ht="33.950000000000003" customHeight="1" x14ac:dyDescent="0.25">
      <c r="A18" s="7">
        <v>17</v>
      </c>
      <c r="B18" s="7" t="s">
        <v>401</v>
      </c>
      <c r="C18" s="7" t="s">
        <v>43</v>
      </c>
      <c r="D18" s="7" t="s">
        <v>402</v>
      </c>
      <c r="E18" s="7" t="s">
        <v>24</v>
      </c>
      <c r="F18" s="8">
        <v>96</v>
      </c>
      <c r="G18" s="9">
        <v>95</v>
      </c>
      <c r="H18" s="9">
        <v>90</v>
      </c>
      <c r="I18" s="10">
        <f t="shared" si="0"/>
        <v>95</v>
      </c>
      <c r="J18" s="7" t="s">
        <v>374</v>
      </c>
    </row>
    <row r="19" spans="1:10" ht="33.950000000000003" customHeight="1" x14ac:dyDescent="0.25">
      <c r="A19" s="7">
        <v>18</v>
      </c>
      <c r="B19" s="7" t="s">
        <v>403</v>
      </c>
      <c r="C19" s="7" t="s">
        <v>120</v>
      </c>
      <c r="D19" s="7" t="s">
        <v>376</v>
      </c>
      <c r="E19" s="7" t="s">
        <v>24</v>
      </c>
      <c r="F19" s="8">
        <v>96</v>
      </c>
      <c r="G19" s="9">
        <v>95</v>
      </c>
      <c r="H19" s="9">
        <v>90</v>
      </c>
      <c r="I19" s="10">
        <f t="shared" si="0"/>
        <v>95</v>
      </c>
      <c r="J19" s="7" t="s">
        <v>374</v>
      </c>
    </row>
    <row r="20" spans="1:10" ht="33.950000000000003" customHeight="1" x14ac:dyDescent="0.25">
      <c r="A20" s="7">
        <v>19</v>
      </c>
      <c r="B20" s="7" t="s">
        <v>404</v>
      </c>
      <c r="C20" s="7" t="s">
        <v>37</v>
      </c>
      <c r="D20" s="7" t="s">
        <v>405</v>
      </c>
      <c r="E20" s="7" t="s">
        <v>24</v>
      </c>
      <c r="F20" s="8">
        <v>96</v>
      </c>
      <c r="G20" s="9">
        <v>95</v>
      </c>
      <c r="H20" s="9">
        <v>90</v>
      </c>
      <c r="I20" s="10">
        <f t="shared" si="0"/>
        <v>95</v>
      </c>
      <c r="J20" s="7" t="s">
        <v>374</v>
      </c>
    </row>
    <row r="21" spans="1:10" ht="33.950000000000003" customHeight="1" x14ac:dyDescent="0.25">
      <c r="A21" s="7">
        <v>20</v>
      </c>
      <c r="B21" s="7" t="s">
        <v>406</v>
      </c>
      <c r="C21" s="7" t="s">
        <v>33</v>
      </c>
      <c r="D21" s="7" t="s">
        <v>407</v>
      </c>
      <c r="E21" s="7" t="s">
        <v>24</v>
      </c>
      <c r="F21" s="8">
        <v>96</v>
      </c>
      <c r="G21" s="9">
        <v>95</v>
      </c>
      <c r="H21" s="9">
        <v>90</v>
      </c>
      <c r="I21" s="10">
        <f t="shared" si="0"/>
        <v>95</v>
      </c>
      <c r="J21" s="7" t="s">
        <v>374</v>
      </c>
    </row>
    <row r="22" spans="1:10" ht="33.950000000000003" customHeight="1" x14ac:dyDescent="0.25">
      <c r="A22" s="7">
        <v>21</v>
      </c>
      <c r="B22" s="7" t="s">
        <v>408</v>
      </c>
      <c r="C22" s="7" t="s">
        <v>409</v>
      </c>
      <c r="D22" s="7" t="s">
        <v>407</v>
      </c>
      <c r="E22" s="7" t="s">
        <v>24</v>
      </c>
      <c r="F22" s="8">
        <v>95</v>
      </c>
      <c r="G22" s="9">
        <v>94</v>
      </c>
      <c r="H22" s="9">
        <v>91</v>
      </c>
      <c r="I22" s="10">
        <f t="shared" si="0"/>
        <v>94</v>
      </c>
      <c r="J22" s="7" t="s">
        <v>374</v>
      </c>
    </row>
    <row r="23" spans="1:10" ht="33.950000000000003" customHeight="1" x14ac:dyDescent="0.25">
      <c r="A23" s="7">
        <v>22</v>
      </c>
      <c r="B23" s="7" t="s">
        <v>410</v>
      </c>
      <c r="C23" s="7" t="s">
        <v>50</v>
      </c>
      <c r="D23" s="7" t="s">
        <v>411</v>
      </c>
      <c r="E23" s="7" t="s">
        <v>24</v>
      </c>
      <c r="F23" s="8">
        <v>95</v>
      </c>
      <c r="G23" s="9">
        <v>94</v>
      </c>
      <c r="H23" s="9">
        <v>91</v>
      </c>
      <c r="I23" s="10">
        <f t="shared" si="0"/>
        <v>94</v>
      </c>
      <c r="J23" s="7" t="s">
        <v>374</v>
      </c>
    </row>
    <row r="24" spans="1:10" ht="33.950000000000003" customHeight="1" x14ac:dyDescent="0.25">
      <c r="A24" s="7">
        <v>23</v>
      </c>
      <c r="B24" s="7" t="s">
        <v>360</v>
      </c>
      <c r="C24" s="7" t="s">
        <v>50</v>
      </c>
      <c r="D24" s="7" t="s">
        <v>412</v>
      </c>
      <c r="E24" s="7" t="s">
        <v>24</v>
      </c>
      <c r="F24" s="8">
        <v>95</v>
      </c>
      <c r="G24" s="9">
        <v>94</v>
      </c>
      <c r="H24" s="9">
        <v>91</v>
      </c>
      <c r="I24" s="10">
        <f t="shared" si="0"/>
        <v>94</v>
      </c>
      <c r="J24" s="7" t="s">
        <v>374</v>
      </c>
    </row>
    <row r="25" spans="1:10" ht="33.950000000000003" customHeight="1" x14ac:dyDescent="0.25">
      <c r="A25" s="7">
        <v>24</v>
      </c>
      <c r="B25" s="7" t="s">
        <v>413</v>
      </c>
      <c r="C25" s="7" t="s">
        <v>43</v>
      </c>
      <c r="D25" s="7" t="s">
        <v>414</v>
      </c>
      <c r="E25" s="7" t="s">
        <v>24</v>
      </c>
      <c r="F25" s="8">
        <v>95</v>
      </c>
      <c r="G25" s="9">
        <v>94</v>
      </c>
      <c r="H25" s="9">
        <v>91</v>
      </c>
      <c r="I25" s="10">
        <f t="shared" si="0"/>
        <v>94</v>
      </c>
      <c r="J25" s="7" t="s">
        <v>374</v>
      </c>
    </row>
    <row r="26" spans="1:10" ht="33.950000000000003" customHeight="1" x14ac:dyDescent="0.25">
      <c r="A26" s="7">
        <v>25</v>
      </c>
      <c r="B26" s="7" t="s">
        <v>415</v>
      </c>
      <c r="C26" s="7" t="s">
        <v>43</v>
      </c>
      <c r="D26" s="7" t="s">
        <v>416</v>
      </c>
      <c r="E26" s="7" t="s">
        <v>24</v>
      </c>
      <c r="F26" s="8">
        <v>95</v>
      </c>
      <c r="G26" s="9">
        <v>94</v>
      </c>
      <c r="H26" s="9">
        <v>91</v>
      </c>
      <c r="I26" s="10">
        <f t="shared" si="0"/>
        <v>94</v>
      </c>
      <c r="J26" s="7" t="s">
        <v>374</v>
      </c>
    </row>
    <row r="27" spans="1:10" ht="33.950000000000003" customHeight="1" x14ac:dyDescent="0.25">
      <c r="A27" s="11">
        <v>26</v>
      </c>
      <c r="B27" s="11" t="s">
        <v>417</v>
      </c>
      <c r="C27" s="11" t="s">
        <v>96</v>
      </c>
      <c r="D27" s="11" t="s">
        <v>418</v>
      </c>
      <c r="E27" s="11" t="s">
        <v>24</v>
      </c>
      <c r="F27" s="12">
        <v>93</v>
      </c>
      <c r="G27" s="13">
        <v>93</v>
      </c>
      <c r="H27" s="13">
        <v>90</v>
      </c>
      <c r="I27" s="14">
        <f t="shared" si="0"/>
        <v>93</v>
      </c>
      <c r="J27" s="11" t="s">
        <v>374</v>
      </c>
    </row>
    <row r="28" spans="1:10" ht="33.950000000000003" customHeight="1" x14ac:dyDescent="0.25">
      <c r="A28" s="11">
        <v>27</v>
      </c>
      <c r="B28" s="11" t="s">
        <v>419</v>
      </c>
      <c r="C28" s="11" t="s">
        <v>43</v>
      </c>
      <c r="D28" s="11" t="s">
        <v>420</v>
      </c>
      <c r="E28" s="11" t="s">
        <v>24</v>
      </c>
      <c r="F28" s="12">
        <v>93</v>
      </c>
      <c r="G28" s="13">
        <v>93</v>
      </c>
      <c r="H28" s="13">
        <v>90</v>
      </c>
      <c r="I28" s="14">
        <f t="shared" si="0"/>
        <v>93</v>
      </c>
      <c r="J28" s="11" t="s">
        <v>374</v>
      </c>
    </row>
    <row r="29" spans="1:10" ht="33.950000000000003" customHeight="1" x14ac:dyDescent="0.25">
      <c r="A29" s="11">
        <v>28</v>
      </c>
      <c r="B29" s="11" t="s">
        <v>421</v>
      </c>
      <c r="C29" s="11" t="s">
        <v>43</v>
      </c>
      <c r="D29" s="11" t="s">
        <v>422</v>
      </c>
      <c r="E29" s="11" t="s">
        <v>24</v>
      </c>
      <c r="F29" s="12">
        <v>93</v>
      </c>
      <c r="G29" s="13">
        <v>93</v>
      </c>
      <c r="H29" s="13">
        <v>90</v>
      </c>
      <c r="I29" s="14">
        <f t="shared" si="0"/>
        <v>93</v>
      </c>
      <c r="J29" s="11" t="s">
        <v>374</v>
      </c>
    </row>
    <row r="30" spans="1:10" ht="33.950000000000003" customHeight="1" x14ac:dyDescent="0.25">
      <c r="A30" s="11">
        <v>29</v>
      </c>
      <c r="B30" s="11" t="s">
        <v>423</v>
      </c>
      <c r="C30" s="11" t="s">
        <v>43</v>
      </c>
      <c r="D30" s="11" t="s">
        <v>376</v>
      </c>
      <c r="E30" s="11" t="s">
        <v>24</v>
      </c>
      <c r="F30" s="12">
        <v>93</v>
      </c>
      <c r="G30" s="13">
        <v>93</v>
      </c>
      <c r="H30" s="13">
        <v>90</v>
      </c>
      <c r="I30" s="14">
        <f t="shared" si="0"/>
        <v>93</v>
      </c>
      <c r="J30" s="11" t="s">
        <v>374</v>
      </c>
    </row>
    <row r="31" spans="1:10" ht="33.950000000000003" customHeight="1" x14ac:dyDescent="0.25">
      <c r="A31" s="11">
        <v>30</v>
      </c>
      <c r="B31" s="11" t="s">
        <v>276</v>
      </c>
      <c r="C31" s="11" t="s">
        <v>33</v>
      </c>
      <c r="D31" s="11" t="s">
        <v>424</v>
      </c>
      <c r="E31" s="11" t="s">
        <v>24</v>
      </c>
      <c r="F31" s="12">
        <v>93</v>
      </c>
      <c r="G31" s="13">
        <v>93</v>
      </c>
      <c r="H31" s="13">
        <v>90</v>
      </c>
      <c r="I31" s="14">
        <f t="shared" si="0"/>
        <v>93</v>
      </c>
      <c r="J31" s="11" t="s">
        <v>374</v>
      </c>
    </row>
    <row r="32" spans="1:10" ht="33.950000000000003" customHeight="1" x14ac:dyDescent="0.25">
      <c r="A32" s="11">
        <v>31</v>
      </c>
      <c r="B32" s="11" t="s">
        <v>359</v>
      </c>
      <c r="C32" s="11" t="s">
        <v>86</v>
      </c>
      <c r="D32" s="11" t="s">
        <v>425</v>
      </c>
      <c r="E32" s="11" t="s">
        <v>24</v>
      </c>
      <c r="F32" s="12">
        <v>93</v>
      </c>
      <c r="G32" s="13">
        <v>93</v>
      </c>
      <c r="H32" s="13">
        <v>90</v>
      </c>
      <c r="I32" s="14">
        <f t="shared" si="0"/>
        <v>93</v>
      </c>
      <c r="J32" s="11" t="s">
        <v>374</v>
      </c>
    </row>
    <row r="33" spans="1:10" ht="33.950000000000003" customHeight="1" x14ac:dyDescent="0.25">
      <c r="A33" s="11">
        <v>32</v>
      </c>
      <c r="B33" s="11" t="s">
        <v>426</v>
      </c>
      <c r="C33" s="11" t="s">
        <v>201</v>
      </c>
      <c r="D33" s="11" t="s">
        <v>427</v>
      </c>
      <c r="E33" s="11" t="s">
        <v>24</v>
      </c>
      <c r="F33" s="12">
        <v>93</v>
      </c>
      <c r="G33" s="13">
        <v>93</v>
      </c>
      <c r="H33" s="13">
        <v>90</v>
      </c>
      <c r="I33" s="14">
        <f t="shared" si="0"/>
        <v>93</v>
      </c>
      <c r="J33" s="11" t="s">
        <v>374</v>
      </c>
    </row>
    <row r="34" spans="1:10" ht="33.950000000000003" customHeight="1" x14ac:dyDescent="0.25">
      <c r="A34" s="11">
        <v>33</v>
      </c>
      <c r="B34" s="11" t="s">
        <v>428</v>
      </c>
      <c r="C34" s="11" t="s">
        <v>378</v>
      </c>
      <c r="D34" s="11" t="s">
        <v>429</v>
      </c>
      <c r="E34" s="11" t="s">
        <v>24</v>
      </c>
      <c r="F34" s="12">
        <v>93</v>
      </c>
      <c r="G34" s="13">
        <v>93</v>
      </c>
      <c r="H34" s="13">
        <v>90</v>
      </c>
      <c r="I34" s="14">
        <f t="shared" ref="I34:I65" si="1">ROUND(F34*0.55+G34*0.3+H34*0.15,0)</f>
        <v>93</v>
      </c>
      <c r="J34" s="11" t="s">
        <v>374</v>
      </c>
    </row>
    <row r="35" spans="1:10" ht="33.950000000000003" customHeight="1" x14ac:dyDescent="0.25">
      <c r="A35" s="11">
        <v>34</v>
      </c>
      <c r="B35" s="11" t="s">
        <v>430</v>
      </c>
      <c r="C35" s="11" t="s">
        <v>53</v>
      </c>
      <c r="D35" s="11" t="s">
        <v>431</v>
      </c>
      <c r="E35" s="11" t="s">
        <v>24</v>
      </c>
      <c r="F35" s="12">
        <v>92</v>
      </c>
      <c r="G35" s="13">
        <v>92</v>
      </c>
      <c r="H35" s="13">
        <v>89</v>
      </c>
      <c r="I35" s="14">
        <f t="shared" si="1"/>
        <v>92</v>
      </c>
      <c r="J35" s="11" t="s">
        <v>374</v>
      </c>
    </row>
    <row r="36" spans="1:10" ht="33.950000000000003" customHeight="1" x14ac:dyDescent="0.25">
      <c r="A36" s="11">
        <v>35</v>
      </c>
      <c r="B36" s="11" t="s">
        <v>432</v>
      </c>
      <c r="C36" s="11" t="s">
        <v>433</v>
      </c>
      <c r="D36" s="11" t="s">
        <v>434</v>
      </c>
      <c r="E36" s="11" t="s">
        <v>24</v>
      </c>
      <c r="F36" s="12">
        <v>92</v>
      </c>
      <c r="G36" s="13">
        <v>92</v>
      </c>
      <c r="H36" s="13">
        <v>89</v>
      </c>
      <c r="I36" s="14">
        <f t="shared" si="1"/>
        <v>92</v>
      </c>
      <c r="J36" s="11" t="s">
        <v>374</v>
      </c>
    </row>
    <row r="37" spans="1:10" ht="33.950000000000003" customHeight="1" x14ac:dyDescent="0.25">
      <c r="A37" s="11">
        <v>36</v>
      </c>
      <c r="B37" s="11" t="s">
        <v>435</v>
      </c>
      <c r="C37" s="11" t="s">
        <v>37</v>
      </c>
      <c r="D37" s="11" t="s">
        <v>407</v>
      </c>
      <c r="E37" s="11" t="s">
        <v>24</v>
      </c>
      <c r="F37" s="12">
        <v>92</v>
      </c>
      <c r="G37" s="13">
        <v>92</v>
      </c>
      <c r="H37" s="13">
        <v>89</v>
      </c>
      <c r="I37" s="14">
        <f t="shared" si="1"/>
        <v>92</v>
      </c>
      <c r="J37" s="11" t="s">
        <v>374</v>
      </c>
    </row>
    <row r="38" spans="1:10" ht="33.950000000000003" customHeight="1" x14ac:dyDescent="0.25">
      <c r="A38" s="11">
        <v>37</v>
      </c>
      <c r="B38" s="11" t="s">
        <v>436</v>
      </c>
      <c r="C38" s="11" t="s">
        <v>43</v>
      </c>
      <c r="D38" s="11" t="s">
        <v>386</v>
      </c>
      <c r="E38" s="11" t="s">
        <v>24</v>
      </c>
      <c r="F38" s="12">
        <v>92</v>
      </c>
      <c r="G38" s="13">
        <v>92</v>
      </c>
      <c r="H38" s="13">
        <v>89</v>
      </c>
      <c r="I38" s="14">
        <f t="shared" si="1"/>
        <v>92</v>
      </c>
      <c r="J38" s="11" t="s">
        <v>374</v>
      </c>
    </row>
    <row r="39" spans="1:10" ht="33.950000000000003" customHeight="1" x14ac:dyDescent="0.25">
      <c r="A39" s="11">
        <v>38</v>
      </c>
      <c r="B39" s="11" t="s">
        <v>437</v>
      </c>
      <c r="C39" s="11" t="s">
        <v>43</v>
      </c>
      <c r="D39" s="11" t="s">
        <v>438</v>
      </c>
      <c r="E39" s="11" t="s">
        <v>24</v>
      </c>
      <c r="F39" s="12">
        <v>92</v>
      </c>
      <c r="G39" s="13">
        <v>92</v>
      </c>
      <c r="H39" s="13">
        <v>89</v>
      </c>
      <c r="I39" s="14">
        <f t="shared" si="1"/>
        <v>92</v>
      </c>
      <c r="J39" s="11" t="s">
        <v>374</v>
      </c>
    </row>
    <row r="40" spans="1:10" ht="33.950000000000003" customHeight="1" x14ac:dyDescent="0.25">
      <c r="A40" s="11">
        <v>39</v>
      </c>
      <c r="B40" s="11" t="s">
        <v>439</v>
      </c>
      <c r="C40" s="11" t="s">
        <v>89</v>
      </c>
      <c r="D40" s="11" t="s">
        <v>407</v>
      </c>
      <c r="E40" s="11" t="s">
        <v>24</v>
      </c>
      <c r="F40" s="12">
        <v>92</v>
      </c>
      <c r="G40" s="13">
        <v>92</v>
      </c>
      <c r="H40" s="13">
        <v>89</v>
      </c>
      <c r="I40" s="14">
        <f t="shared" si="1"/>
        <v>92</v>
      </c>
      <c r="J40" s="11" t="s">
        <v>374</v>
      </c>
    </row>
    <row r="41" spans="1:10" ht="33.950000000000003" customHeight="1" x14ac:dyDescent="0.25">
      <c r="A41" s="11">
        <v>40</v>
      </c>
      <c r="B41" s="11" t="s">
        <v>440</v>
      </c>
      <c r="C41" s="11" t="s">
        <v>367</v>
      </c>
      <c r="D41" s="11" t="s">
        <v>407</v>
      </c>
      <c r="E41" s="11" t="s">
        <v>24</v>
      </c>
      <c r="F41" s="12">
        <v>92</v>
      </c>
      <c r="G41" s="13">
        <v>92</v>
      </c>
      <c r="H41" s="13">
        <v>89</v>
      </c>
      <c r="I41" s="14">
        <f t="shared" si="1"/>
        <v>92</v>
      </c>
      <c r="J41" s="11" t="s">
        <v>374</v>
      </c>
    </row>
    <row r="42" spans="1:10" ht="33.950000000000003" customHeight="1" x14ac:dyDescent="0.25">
      <c r="A42" s="11">
        <v>41</v>
      </c>
      <c r="B42" s="11" t="s">
        <v>441</v>
      </c>
      <c r="C42" s="11" t="s">
        <v>367</v>
      </c>
      <c r="D42" s="11" t="s">
        <v>442</v>
      </c>
      <c r="E42" s="11" t="s">
        <v>24</v>
      </c>
      <c r="F42" s="12">
        <v>92</v>
      </c>
      <c r="G42" s="13">
        <v>92</v>
      </c>
      <c r="H42" s="13">
        <v>89</v>
      </c>
      <c r="I42" s="14">
        <f t="shared" si="1"/>
        <v>92</v>
      </c>
      <c r="J42" s="11" t="s">
        <v>374</v>
      </c>
    </row>
    <row r="43" spans="1:10" ht="33.950000000000003" customHeight="1" x14ac:dyDescent="0.25">
      <c r="A43" s="11">
        <v>42</v>
      </c>
      <c r="B43" s="11" t="s">
        <v>443</v>
      </c>
      <c r="C43" s="11" t="s">
        <v>367</v>
      </c>
      <c r="D43" s="11" t="s">
        <v>444</v>
      </c>
      <c r="E43" s="11" t="s">
        <v>24</v>
      </c>
      <c r="F43" s="12">
        <v>91</v>
      </c>
      <c r="G43" s="13">
        <v>91</v>
      </c>
      <c r="H43" s="13">
        <v>88</v>
      </c>
      <c r="I43" s="14">
        <f t="shared" si="1"/>
        <v>91</v>
      </c>
      <c r="J43" s="11" t="s">
        <v>374</v>
      </c>
    </row>
    <row r="44" spans="1:10" ht="33.950000000000003" customHeight="1" x14ac:dyDescent="0.25">
      <c r="A44" s="11">
        <v>43</v>
      </c>
      <c r="B44" s="11" t="s">
        <v>445</v>
      </c>
      <c r="C44" s="11" t="s">
        <v>89</v>
      </c>
      <c r="D44" s="11" t="s">
        <v>446</v>
      </c>
      <c r="E44" s="11" t="s">
        <v>24</v>
      </c>
      <c r="F44" s="12">
        <v>91</v>
      </c>
      <c r="G44" s="13">
        <v>91</v>
      </c>
      <c r="H44" s="13">
        <v>88</v>
      </c>
      <c r="I44" s="14">
        <f t="shared" si="1"/>
        <v>91</v>
      </c>
      <c r="J44" s="11" t="s">
        <v>374</v>
      </c>
    </row>
    <row r="45" spans="1:10" ht="33.950000000000003" customHeight="1" x14ac:dyDescent="0.25">
      <c r="A45" s="11">
        <v>44</v>
      </c>
      <c r="B45" s="11" t="s">
        <v>447</v>
      </c>
      <c r="C45" s="11" t="s">
        <v>33</v>
      </c>
      <c r="D45" s="11" t="s">
        <v>448</v>
      </c>
      <c r="E45" s="11" t="s">
        <v>24</v>
      </c>
      <c r="F45" s="12">
        <v>91</v>
      </c>
      <c r="G45" s="13">
        <v>91</v>
      </c>
      <c r="H45" s="13">
        <v>88</v>
      </c>
      <c r="I45" s="14">
        <f t="shared" si="1"/>
        <v>91</v>
      </c>
      <c r="J45" s="11" t="s">
        <v>374</v>
      </c>
    </row>
    <row r="46" spans="1:10" ht="33.950000000000003" customHeight="1" x14ac:dyDescent="0.25">
      <c r="A46" s="11">
        <v>45</v>
      </c>
      <c r="B46" s="11" t="s">
        <v>449</v>
      </c>
      <c r="C46" s="11" t="s">
        <v>450</v>
      </c>
      <c r="D46" s="11" t="s">
        <v>451</v>
      </c>
      <c r="E46" s="11" t="s">
        <v>24</v>
      </c>
      <c r="F46" s="12">
        <v>91</v>
      </c>
      <c r="G46" s="13">
        <v>91</v>
      </c>
      <c r="H46" s="13">
        <v>88</v>
      </c>
      <c r="I46" s="14">
        <f t="shared" si="1"/>
        <v>91</v>
      </c>
      <c r="J46" s="11" t="s">
        <v>374</v>
      </c>
    </row>
    <row r="47" spans="1:10" ht="33.950000000000003" customHeight="1" x14ac:dyDescent="0.25">
      <c r="A47" s="11">
        <v>46</v>
      </c>
      <c r="B47" s="11" t="s">
        <v>452</v>
      </c>
      <c r="C47" s="11" t="s">
        <v>58</v>
      </c>
      <c r="D47" s="11" t="s">
        <v>453</v>
      </c>
      <c r="E47" s="11" t="s">
        <v>24</v>
      </c>
      <c r="F47" s="12">
        <v>91</v>
      </c>
      <c r="G47" s="13">
        <v>91</v>
      </c>
      <c r="H47" s="13">
        <v>88</v>
      </c>
      <c r="I47" s="14">
        <f t="shared" si="1"/>
        <v>91</v>
      </c>
      <c r="J47" s="11" t="s">
        <v>374</v>
      </c>
    </row>
    <row r="48" spans="1:10" ht="33.950000000000003" customHeight="1" x14ac:dyDescent="0.25">
      <c r="A48" s="11">
        <v>47</v>
      </c>
      <c r="B48" s="11" t="s">
        <v>454</v>
      </c>
      <c r="C48" s="11" t="s">
        <v>43</v>
      </c>
      <c r="D48" s="11" t="s">
        <v>455</v>
      </c>
      <c r="E48" s="11" t="s">
        <v>24</v>
      </c>
      <c r="F48" s="12">
        <v>91</v>
      </c>
      <c r="G48" s="13">
        <v>91</v>
      </c>
      <c r="H48" s="13">
        <v>88</v>
      </c>
      <c r="I48" s="14">
        <f t="shared" si="1"/>
        <v>91</v>
      </c>
      <c r="J48" s="11" t="s">
        <v>374</v>
      </c>
    </row>
    <row r="49" spans="1:10" ht="33.950000000000003" customHeight="1" x14ac:dyDescent="0.25">
      <c r="A49" s="11">
        <v>48</v>
      </c>
      <c r="B49" s="11" t="s">
        <v>456</v>
      </c>
      <c r="C49" s="11" t="s">
        <v>43</v>
      </c>
      <c r="D49" s="11" t="s">
        <v>457</v>
      </c>
      <c r="E49" s="11" t="s">
        <v>24</v>
      </c>
      <c r="F49" s="12">
        <v>91</v>
      </c>
      <c r="G49" s="13">
        <v>91</v>
      </c>
      <c r="H49" s="13">
        <v>88</v>
      </c>
      <c r="I49" s="14">
        <f t="shared" si="1"/>
        <v>91</v>
      </c>
      <c r="J49" s="11" t="s">
        <v>374</v>
      </c>
    </row>
    <row r="50" spans="1:10" ht="33.950000000000003" customHeight="1" x14ac:dyDescent="0.25">
      <c r="A50" s="11">
        <v>49</v>
      </c>
      <c r="B50" s="11" t="s">
        <v>458</v>
      </c>
      <c r="C50" s="11" t="s">
        <v>192</v>
      </c>
      <c r="D50" s="11" t="s">
        <v>459</v>
      </c>
      <c r="E50" s="11" t="s">
        <v>24</v>
      </c>
      <c r="F50" s="12">
        <v>91</v>
      </c>
      <c r="G50" s="13">
        <v>91</v>
      </c>
      <c r="H50" s="13">
        <v>88</v>
      </c>
      <c r="I50" s="14">
        <f t="shared" si="1"/>
        <v>91</v>
      </c>
      <c r="J50" s="11" t="s">
        <v>374</v>
      </c>
    </row>
    <row r="51" spans="1:10" ht="33.950000000000003" customHeight="1" x14ac:dyDescent="0.25">
      <c r="A51" s="11">
        <v>50</v>
      </c>
      <c r="B51" s="11" t="s">
        <v>460</v>
      </c>
      <c r="C51" s="11" t="s">
        <v>43</v>
      </c>
      <c r="D51" s="11" t="s">
        <v>461</v>
      </c>
      <c r="E51" s="11" t="s">
        <v>24</v>
      </c>
      <c r="F51" s="12">
        <v>90</v>
      </c>
      <c r="G51" s="13">
        <v>90</v>
      </c>
      <c r="H51" s="13">
        <v>87</v>
      </c>
      <c r="I51" s="14">
        <f t="shared" si="1"/>
        <v>90</v>
      </c>
      <c r="J51" s="11" t="s">
        <v>374</v>
      </c>
    </row>
    <row r="52" spans="1:10" ht="33.950000000000003" customHeight="1" x14ac:dyDescent="0.25">
      <c r="A52" s="15">
        <v>51</v>
      </c>
      <c r="B52" s="15" t="s">
        <v>462</v>
      </c>
      <c r="C52" s="15" t="s">
        <v>43</v>
      </c>
      <c r="D52" s="15" t="s">
        <v>463</v>
      </c>
      <c r="E52" s="15" t="s">
        <v>24</v>
      </c>
      <c r="F52" s="16">
        <v>89</v>
      </c>
      <c r="G52" s="17">
        <v>88</v>
      </c>
      <c r="H52" s="17">
        <v>86</v>
      </c>
      <c r="I52" s="18">
        <f t="shared" si="1"/>
        <v>88</v>
      </c>
      <c r="J52" s="15" t="s">
        <v>374</v>
      </c>
    </row>
    <row r="53" spans="1:10" ht="33.950000000000003" customHeight="1" x14ac:dyDescent="0.25">
      <c r="A53" s="19">
        <v>52</v>
      </c>
      <c r="B53" s="19" t="s">
        <v>464</v>
      </c>
      <c r="C53" s="19" t="s">
        <v>43</v>
      </c>
      <c r="D53" s="19" t="s">
        <v>465</v>
      </c>
      <c r="E53" s="19" t="s">
        <v>24</v>
      </c>
      <c r="F53" s="20">
        <v>89</v>
      </c>
      <c r="G53" s="21">
        <v>88</v>
      </c>
      <c r="H53" s="21">
        <v>86</v>
      </c>
      <c r="I53" s="22">
        <f t="shared" si="1"/>
        <v>88</v>
      </c>
      <c r="J53" s="19" t="s">
        <v>374</v>
      </c>
    </row>
    <row r="54" spans="1:10" ht="33.950000000000003" customHeight="1" x14ac:dyDescent="0.25">
      <c r="A54" s="15">
        <v>53</v>
      </c>
      <c r="B54" s="15" t="s">
        <v>466</v>
      </c>
      <c r="C54" s="15" t="s">
        <v>43</v>
      </c>
      <c r="D54" s="15" t="s">
        <v>407</v>
      </c>
      <c r="E54" s="15" t="s">
        <v>24</v>
      </c>
      <c r="F54" s="16">
        <v>89</v>
      </c>
      <c r="G54" s="17">
        <v>88</v>
      </c>
      <c r="H54" s="17">
        <v>86</v>
      </c>
      <c r="I54" s="18">
        <f t="shared" si="1"/>
        <v>88</v>
      </c>
      <c r="J54" s="15" t="s">
        <v>374</v>
      </c>
    </row>
    <row r="55" spans="1:10" ht="33.950000000000003" customHeight="1" x14ac:dyDescent="0.25">
      <c r="A55" s="19">
        <v>54</v>
      </c>
      <c r="B55" s="19" t="s">
        <v>467</v>
      </c>
      <c r="C55" s="19" t="s">
        <v>43</v>
      </c>
      <c r="D55" s="19" t="s">
        <v>468</v>
      </c>
      <c r="E55" s="19" t="s">
        <v>24</v>
      </c>
      <c r="F55" s="20">
        <v>89</v>
      </c>
      <c r="G55" s="21">
        <v>88</v>
      </c>
      <c r="H55" s="21">
        <v>86</v>
      </c>
      <c r="I55" s="22">
        <f t="shared" si="1"/>
        <v>88</v>
      </c>
      <c r="J55" s="19" t="s">
        <v>374</v>
      </c>
    </row>
    <row r="56" spans="1:10" ht="33.950000000000003" customHeight="1" x14ac:dyDescent="0.25">
      <c r="A56" s="15">
        <v>55</v>
      </c>
      <c r="B56" s="15" t="s">
        <v>469</v>
      </c>
      <c r="C56" s="15" t="s">
        <v>378</v>
      </c>
      <c r="D56" s="15" t="s">
        <v>470</v>
      </c>
      <c r="E56" s="15" t="s">
        <v>24</v>
      </c>
      <c r="F56" s="16">
        <v>89</v>
      </c>
      <c r="G56" s="17">
        <v>88</v>
      </c>
      <c r="H56" s="17">
        <v>86</v>
      </c>
      <c r="I56" s="18">
        <f t="shared" si="1"/>
        <v>88</v>
      </c>
      <c r="J56" s="15" t="s">
        <v>374</v>
      </c>
    </row>
    <row r="57" spans="1:10" ht="33.950000000000003" customHeight="1" x14ac:dyDescent="0.25">
      <c r="A57" s="19">
        <v>56</v>
      </c>
      <c r="B57" s="19" t="s">
        <v>471</v>
      </c>
      <c r="C57" s="19" t="s">
        <v>284</v>
      </c>
      <c r="D57" s="19" t="s">
        <v>373</v>
      </c>
      <c r="E57" s="19" t="s">
        <v>24</v>
      </c>
      <c r="F57" s="20">
        <v>89</v>
      </c>
      <c r="G57" s="21">
        <v>88</v>
      </c>
      <c r="H57" s="21">
        <v>86</v>
      </c>
      <c r="I57" s="22">
        <f t="shared" si="1"/>
        <v>88</v>
      </c>
      <c r="J57" s="19" t="s">
        <v>374</v>
      </c>
    </row>
    <row r="58" spans="1:10" ht="33.950000000000003" customHeight="1" x14ac:dyDescent="0.25">
      <c r="A58" s="15">
        <v>57</v>
      </c>
      <c r="B58" s="15" t="s">
        <v>472</v>
      </c>
      <c r="C58" s="15" t="s">
        <v>328</v>
      </c>
      <c r="D58" s="15" t="s">
        <v>373</v>
      </c>
      <c r="E58" s="15" t="s">
        <v>24</v>
      </c>
      <c r="F58" s="16">
        <v>89</v>
      </c>
      <c r="G58" s="17">
        <v>88</v>
      </c>
      <c r="H58" s="17">
        <v>86</v>
      </c>
      <c r="I58" s="18">
        <f t="shared" si="1"/>
        <v>88</v>
      </c>
      <c r="J58" s="15" t="s">
        <v>374</v>
      </c>
    </row>
    <row r="59" spans="1:10" ht="33.950000000000003" customHeight="1" x14ac:dyDescent="0.25">
      <c r="A59" s="19">
        <v>58</v>
      </c>
      <c r="B59" s="19" t="s">
        <v>473</v>
      </c>
      <c r="C59" s="19" t="s">
        <v>35</v>
      </c>
      <c r="D59" s="19" t="s">
        <v>474</v>
      </c>
      <c r="E59" s="19" t="s">
        <v>24</v>
      </c>
      <c r="F59" s="20">
        <v>89</v>
      </c>
      <c r="G59" s="21">
        <v>88</v>
      </c>
      <c r="H59" s="21">
        <v>86</v>
      </c>
      <c r="I59" s="22">
        <f t="shared" si="1"/>
        <v>88</v>
      </c>
      <c r="J59" s="19" t="s">
        <v>374</v>
      </c>
    </row>
    <row r="60" spans="1:10" ht="33.950000000000003" customHeight="1" x14ac:dyDescent="0.25">
      <c r="A60" s="15">
        <v>59</v>
      </c>
      <c r="B60" s="15" t="s">
        <v>475</v>
      </c>
      <c r="C60" s="15" t="s">
        <v>43</v>
      </c>
      <c r="D60" s="15" t="s">
        <v>476</v>
      </c>
      <c r="E60" s="15" t="s">
        <v>24</v>
      </c>
      <c r="F60" s="16">
        <v>89</v>
      </c>
      <c r="G60" s="17">
        <v>88</v>
      </c>
      <c r="H60" s="17">
        <v>86</v>
      </c>
      <c r="I60" s="18">
        <f t="shared" si="1"/>
        <v>88</v>
      </c>
      <c r="J60" s="15" t="s">
        <v>374</v>
      </c>
    </row>
    <row r="61" spans="1:10" ht="33.950000000000003" customHeight="1" x14ac:dyDescent="0.25">
      <c r="A61" s="19">
        <v>60</v>
      </c>
      <c r="B61" s="19" t="s">
        <v>477</v>
      </c>
      <c r="C61" s="19" t="s">
        <v>43</v>
      </c>
      <c r="D61" s="19" t="s">
        <v>478</v>
      </c>
      <c r="E61" s="19" t="s">
        <v>24</v>
      </c>
      <c r="F61" s="20">
        <v>89</v>
      </c>
      <c r="G61" s="21">
        <v>88</v>
      </c>
      <c r="H61" s="21">
        <v>86</v>
      </c>
      <c r="I61" s="22">
        <f t="shared" si="1"/>
        <v>88</v>
      </c>
      <c r="J61" s="19" t="s">
        <v>374</v>
      </c>
    </row>
    <row r="62" spans="1:10" ht="33.950000000000003" customHeight="1" x14ac:dyDescent="0.25">
      <c r="A62" s="15">
        <v>61</v>
      </c>
      <c r="B62" s="15" t="s">
        <v>479</v>
      </c>
      <c r="C62" s="15" t="s">
        <v>43</v>
      </c>
      <c r="D62" s="15" t="s">
        <v>480</v>
      </c>
      <c r="E62" s="15" t="s">
        <v>24</v>
      </c>
      <c r="F62" s="16">
        <v>89</v>
      </c>
      <c r="G62" s="17">
        <v>88</v>
      </c>
      <c r="H62" s="17">
        <v>86</v>
      </c>
      <c r="I62" s="18">
        <f t="shared" si="1"/>
        <v>88</v>
      </c>
      <c r="J62" s="15" t="s">
        <v>374</v>
      </c>
    </row>
    <row r="63" spans="1:10" ht="33.950000000000003" customHeight="1" x14ac:dyDescent="0.25">
      <c r="A63" s="19">
        <v>62</v>
      </c>
      <c r="B63" s="19" t="s">
        <v>481</v>
      </c>
      <c r="C63" s="19" t="s">
        <v>43</v>
      </c>
      <c r="D63" s="19" t="s">
        <v>482</v>
      </c>
      <c r="E63" s="19" t="s">
        <v>24</v>
      </c>
      <c r="F63" s="20">
        <v>89</v>
      </c>
      <c r="G63" s="21">
        <v>88</v>
      </c>
      <c r="H63" s="21">
        <v>86</v>
      </c>
      <c r="I63" s="22">
        <f t="shared" si="1"/>
        <v>88</v>
      </c>
      <c r="J63" s="19" t="s">
        <v>374</v>
      </c>
    </row>
    <row r="64" spans="1:10" ht="33.950000000000003" customHeight="1" x14ac:dyDescent="0.25">
      <c r="A64" s="15">
        <v>63</v>
      </c>
      <c r="B64" s="15" t="s">
        <v>483</v>
      </c>
      <c r="C64" s="15" t="s">
        <v>43</v>
      </c>
      <c r="D64" s="15" t="s">
        <v>484</v>
      </c>
      <c r="E64" s="15" t="s">
        <v>24</v>
      </c>
      <c r="F64" s="16">
        <v>89</v>
      </c>
      <c r="G64" s="17">
        <v>88</v>
      </c>
      <c r="H64" s="17">
        <v>86</v>
      </c>
      <c r="I64" s="18">
        <f t="shared" si="1"/>
        <v>88</v>
      </c>
      <c r="J64" s="15" t="s">
        <v>374</v>
      </c>
    </row>
    <row r="65" spans="1:10" ht="33.950000000000003" customHeight="1" x14ac:dyDescent="0.25">
      <c r="A65" s="19">
        <v>64</v>
      </c>
      <c r="B65" s="19" t="s">
        <v>485</v>
      </c>
      <c r="C65" s="19" t="s">
        <v>486</v>
      </c>
      <c r="D65" s="19" t="s">
        <v>487</v>
      </c>
      <c r="E65" s="19" t="s">
        <v>24</v>
      </c>
      <c r="F65" s="20">
        <v>88</v>
      </c>
      <c r="G65" s="21">
        <v>87</v>
      </c>
      <c r="H65" s="21">
        <v>85</v>
      </c>
      <c r="I65" s="22">
        <f t="shared" si="1"/>
        <v>87</v>
      </c>
      <c r="J65" s="19" t="s">
        <v>374</v>
      </c>
    </row>
    <row r="66" spans="1:10" ht="33.950000000000003" customHeight="1" x14ac:dyDescent="0.25">
      <c r="A66" s="15">
        <v>65</v>
      </c>
      <c r="B66" s="15" t="s">
        <v>488</v>
      </c>
      <c r="C66" s="15" t="s">
        <v>33</v>
      </c>
      <c r="D66" s="15" t="s">
        <v>489</v>
      </c>
      <c r="E66" s="15" t="s">
        <v>24</v>
      </c>
      <c r="F66" s="16">
        <v>88</v>
      </c>
      <c r="G66" s="17">
        <v>87</v>
      </c>
      <c r="H66" s="17">
        <v>85</v>
      </c>
      <c r="I66" s="18">
        <f t="shared" ref="I66:I97" si="2">ROUND(F66*0.55+G66*0.3+H66*0.15,0)</f>
        <v>87</v>
      </c>
      <c r="J66" s="15" t="s">
        <v>374</v>
      </c>
    </row>
    <row r="67" spans="1:10" ht="33.950000000000003" customHeight="1" x14ac:dyDescent="0.25">
      <c r="A67" s="19">
        <v>66</v>
      </c>
      <c r="B67" s="19" t="s">
        <v>490</v>
      </c>
      <c r="C67" s="19" t="s">
        <v>33</v>
      </c>
      <c r="D67" s="19" t="s">
        <v>491</v>
      </c>
      <c r="E67" s="19" t="s">
        <v>24</v>
      </c>
      <c r="F67" s="20">
        <v>88</v>
      </c>
      <c r="G67" s="21">
        <v>87</v>
      </c>
      <c r="H67" s="21">
        <v>85</v>
      </c>
      <c r="I67" s="22">
        <f t="shared" si="2"/>
        <v>87</v>
      </c>
      <c r="J67" s="19" t="s">
        <v>374</v>
      </c>
    </row>
    <row r="68" spans="1:10" ht="33.950000000000003" customHeight="1" x14ac:dyDescent="0.25">
      <c r="A68" s="15">
        <v>67</v>
      </c>
      <c r="B68" s="15" t="s">
        <v>492</v>
      </c>
      <c r="C68" s="15" t="s">
        <v>56</v>
      </c>
      <c r="D68" s="15" t="s">
        <v>493</v>
      </c>
      <c r="E68" s="15" t="s">
        <v>24</v>
      </c>
      <c r="F68" s="16">
        <v>88</v>
      </c>
      <c r="G68" s="17">
        <v>87</v>
      </c>
      <c r="H68" s="17">
        <v>85</v>
      </c>
      <c r="I68" s="18">
        <f t="shared" si="2"/>
        <v>87</v>
      </c>
      <c r="J68" s="15" t="s">
        <v>374</v>
      </c>
    </row>
    <row r="69" spans="1:10" ht="33.950000000000003" customHeight="1" x14ac:dyDescent="0.25">
      <c r="A69" s="19">
        <v>68</v>
      </c>
      <c r="B69" s="19" t="s">
        <v>494</v>
      </c>
      <c r="C69" s="19" t="s">
        <v>82</v>
      </c>
      <c r="D69" s="19" t="s">
        <v>376</v>
      </c>
      <c r="E69" s="19" t="s">
        <v>24</v>
      </c>
      <c r="F69" s="20">
        <v>88</v>
      </c>
      <c r="G69" s="21">
        <v>87</v>
      </c>
      <c r="H69" s="21">
        <v>85</v>
      </c>
      <c r="I69" s="22">
        <f t="shared" si="2"/>
        <v>87</v>
      </c>
      <c r="J69" s="19" t="s">
        <v>374</v>
      </c>
    </row>
    <row r="70" spans="1:10" ht="33.950000000000003" customHeight="1" x14ac:dyDescent="0.25">
      <c r="A70" s="15">
        <v>69</v>
      </c>
      <c r="B70" s="15" t="s">
        <v>495</v>
      </c>
      <c r="C70" s="15" t="s">
        <v>496</v>
      </c>
      <c r="D70" s="15" t="s">
        <v>376</v>
      </c>
      <c r="E70" s="15" t="s">
        <v>24</v>
      </c>
      <c r="F70" s="16">
        <v>88</v>
      </c>
      <c r="G70" s="17">
        <v>87</v>
      </c>
      <c r="H70" s="17">
        <v>85</v>
      </c>
      <c r="I70" s="18">
        <f t="shared" si="2"/>
        <v>87</v>
      </c>
      <c r="J70" s="15" t="s">
        <v>374</v>
      </c>
    </row>
    <row r="71" spans="1:10" ht="33.950000000000003" customHeight="1" x14ac:dyDescent="0.25">
      <c r="A71" s="19">
        <v>70</v>
      </c>
      <c r="B71" s="19" t="s">
        <v>497</v>
      </c>
      <c r="C71" s="19" t="s">
        <v>43</v>
      </c>
      <c r="D71" s="19" t="s">
        <v>376</v>
      </c>
      <c r="E71" s="19" t="s">
        <v>24</v>
      </c>
      <c r="F71" s="20">
        <v>88</v>
      </c>
      <c r="G71" s="21">
        <v>87</v>
      </c>
      <c r="H71" s="21">
        <v>85</v>
      </c>
      <c r="I71" s="22">
        <f t="shared" si="2"/>
        <v>87</v>
      </c>
      <c r="J71" s="19" t="s">
        <v>374</v>
      </c>
    </row>
    <row r="72" spans="1:10" ht="33.950000000000003" customHeight="1" x14ac:dyDescent="0.25">
      <c r="A72" s="15">
        <v>71</v>
      </c>
      <c r="B72" s="15" t="s">
        <v>88</v>
      </c>
      <c r="C72" s="15" t="s">
        <v>89</v>
      </c>
      <c r="D72" s="15" t="s">
        <v>407</v>
      </c>
      <c r="E72" s="15" t="s">
        <v>24</v>
      </c>
      <c r="F72" s="16">
        <v>88</v>
      </c>
      <c r="G72" s="17">
        <v>87</v>
      </c>
      <c r="H72" s="17">
        <v>85</v>
      </c>
      <c r="I72" s="18">
        <f t="shared" si="2"/>
        <v>87</v>
      </c>
      <c r="J72" s="15" t="s">
        <v>374</v>
      </c>
    </row>
    <row r="73" spans="1:10" ht="33.950000000000003" customHeight="1" x14ac:dyDescent="0.25">
      <c r="A73" s="19">
        <v>72</v>
      </c>
      <c r="B73" s="19" t="s">
        <v>498</v>
      </c>
      <c r="C73" s="19" t="s">
        <v>86</v>
      </c>
      <c r="D73" s="19" t="s">
        <v>499</v>
      </c>
      <c r="E73" s="19" t="s">
        <v>24</v>
      </c>
      <c r="F73" s="20">
        <v>88</v>
      </c>
      <c r="G73" s="21">
        <v>87</v>
      </c>
      <c r="H73" s="21">
        <v>85</v>
      </c>
      <c r="I73" s="22">
        <f t="shared" si="2"/>
        <v>87</v>
      </c>
      <c r="J73" s="19" t="s">
        <v>374</v>
      </c>
    </row>
    <row r="74" spans="1:10" ht="33.950000000000003" customHeight="1" x14ac:dyDescent="0.25">
      <c r="A74" s="15">
        <v>73</v>
      </c>
      <c r="B74" s="15" t="s">
        <v>500</v>
      </c>
      <c r="C74" s="15" t="s">
        <v>50</v>
      </c>
      <c r="D74" s="15" t="s">
        <v>501</v>
      </c>
      <c r="E74" s="15" t="s">
        <v>24</v>
      </c>
      <c r="F74" s="16">
        <v>88</v>
      </c>
      <c r="G74" s="17">
        <v>87</v>
      </c>
      <c r="H74" s="17">
        <v>85</v>
      </c>
      <c r="I74" s="18">
        <f t="shared" si="2"/>
        <v>87</v>
      </c>
      <c r="J74" s="15" t="s">
        <v>374</v>
      </c>
    </row>
    <row r="75" spans="1:10" ht="33.950000000000003" customHeight="1" x14ac:dyDescent="0.25">
      <c r="A75" s="19">
        <v>74</v>
      </c>
      <c r="B75" s="19" t="s">
        <v>502</v>
      </c>
      <c r="C75" s="19" t="s">
        <v>50</v>
      </c>
      <c r="D75" s="19" t="s">
        <v>503</v>
      </c>
      <c r="E75" s="19" t="s">
        <v>24</v>
      </c>
      <c r="F75" s="20">
        <v>88</v>
      </c>
      <c r="G75" s="21">
        <v>87</v>
      </c>
      <c r="H75" s="21">
        <v>85</v>
      </c>
      <c r="I75" s="22">
        <f t="shared" si="2"/>
        <v>87</v>
      </c>
      <c r="J75" s="19" t="s">
        <v>374</v>
      </c>
    </row>
    <row r="76" spans="1:10" ht="33.950000000000003" customHeight="1" x14ac:dyDescent="0.25">
      <c r="A76" s="15">
        <v>75</v>
      </c>
      <c r="B76" s="15" t="s">
        <v>66</v>
      </c>
      <c r="C76" s="15" t="s">
        <v>43</v>
      </c>
      <c r="D76" s="15" t="s">
        <v>504</v>
      </c>
      <c r="E76" s="15" t="s">
        <v>24</v>
      </c>
      <c r="F76" s="16">
        <v>88</v>
      </c>
      <c r="G76" s="17">
        <v>87</v>
      </c>
      <c r="H76" s="17">
        <v>85</v>
      </c>
      <c r="I76" s="18">
        <f t="shared" si="2"/>
        <v>87</v>
      </c>
      <c r="J76" s="15" t="s">
        <v>374</v>
      </c>
    </row>
    <row r="77" spans="1:10" ht="33.950000000000003" customHeight="1" x14ac:dyDescent="0.25">
      <c r="A77" s="19">
        <v>76</v>
      </c>
      <c r="B77" s="19" t="s">
        <v>505</v>
      </c>
      <c r="C77" s="19" t="s">
        <v>120</v>
      </c>
      <c r="D77" s="19" t="s">
        <v>407</v>
      </c>
      <c r="E77" s="19" t="s">
        <v>24</v>
      </c>
      <c r="F77" s="20">
        <v>88</v>
      </c>
      <c r="G77" s="21">
        <v>87</v>
      </c>
      <c r="H77" s="21">
        <v>85</v>
      </c>
      <c r="I77" s="22">
        <f t="shared" si="2"/>
        <v>87</v>
      </c>
      <c r="J77" s="19" t="s">
        <v>374</v>
      </c>
    </row>
    <row r="78" spans="1:10" ht="33.950000000000003" customHeight="1" x14ac:dyDescent="0.25">
      <c r="A78" s="15">
        <v>77</v>
      </c>
      <c r="B78" s="15" t="s">
        <v>506</v>
      </c>
      <c r="C78" s="15" t="s">
        <v>43</v>
      </c>
      <c r="D78" s="15" t="s">
        <v>507</v>
      </c>
      <c r="E78" s="15" t="s">
        <v>24</v>
      </c>
      <c r="F78" s="16">
        <v>87</v>
      </c>
      <c r="G78" s="17">
        <v>86</v>
      </c>
      <c r="H78" s="17">
        <v>84</v>
      </c>
      <c r="I78" s="18">
        <f t="shared" si="2"/>
        <v>86</v>
      </c>
      <c r="J78" s="15" t="s">
        <v>374</v>
      </c>
    </row>
    <row r="79" spans="1:10" ht="33.950000000000003" customHeight="1" x14ac:dyDescent="0.25">
      <c r="A79" s="19">
        <v>78</v>
      </c>
      <c r="B79" s="19" t="s">
        <v>508</v>
      </c>
      <c r="C79" s="19" t="s">
        <v>58</v>
      </c>
      <c r="D79" s="19" t="s">
        <v>407</v>
      </c>
      <c r="E79" s="19" t="s">
        <v>24</v>
      </c>
      <c r="F79" s="20">
        <v>87</v>
      </c>
      <c r="G79" s="21">
        <v>86</v>
      </c>
      <c r="H79" s="21">
        <v>84</v>
      </c>
      <c r="I79" s="22">
        <f t="shared" si="2"/>
        <v>86</v>
      </c>
      <c r="J79" s="19" t="s">
        <v>374</v>
      </c>
    </row>
    <row r="80" spans="1:10" ht="33.950000000000003" customHeight="1" x14ac:dyDescent="0.25">
      <c r="A80" s="15">
        <v>79</v>
      </c>
      <c r="B80" s="15" t="s">
        <v>509</v>
      </c>
      <c r="C80" s="15" t="s">
        <v>53</v>
      </c>
      <c r="D80" s="15" t="s">
        <v>407</v>
      </c>
      <c r="E80" s="15" t="s">
        <v>24</v>
      </c>
      <c r="F80" s="16">
        <v>87</v>
      </c>
      <c r="G80" s="17">
        <v>86</v>
      </c>
      <c r="H80" s="17">
        <v>84</v>
      </c>
      <c r="I80" s="18">
        <f t="shared" si="2"/>
        <v>86</v>
      </c>
      <c r="J80" s="15" t="s">
        <v>374</v>
      </c>
    </row>
    <row r="81" spans="1:10" ht="33.950000000000003" customHeight="1" x14ac:dyDescent="0.25">
      <c r="A81" s="19">
        <v>80</v>
      </c>
      <c r="B81" s="19" t="s">
        <v>510</v>
      </c>
      <c r="C81" s="19" t="s">
        <v>53</v>
      </c>
      <c r="D81" s="19" t="s">
        <v>511</v>
      </c>
      <c r="E81" s="19" t="s">
        <v>24</v>
      </c>
      <c r="F81" s="20">
        <v>87</v>
      </c>
      <c r="G81" s="21">
        <v>86</v>
      </c>
      <c r="H81" s="21">
        <v>84</v>
      </c>
      <c r="I81" s="22">
        <f t="shared" si="2"/>
        <v>86</v>
      </c>
      <c r="J81" s="19" t="s">
        <v>374</v>
      </c>
    </row>
    <row r="82" spans="1:10" ht="33.950000000000003" customHeight="1" x14ac:dyDescent="0.25">
      <c r="A82" s="15">
        <v>81</v>
      </c>
      <c r="B82" s="15" t="s">
        <v>512</v>
      </c>
      <c r="C82" s="15" t="s">
        <v>486</v>
      </c>
      <c r="D82" s="15" t="s">
        <v>513</v>
      </c>
      <c r="E82" s="15" t="s">
        <v>24</v>
      </c>
      <c r="F82" s="16">
        <v>86</v>
      </c>
      <c r="G82" s="17">
        <v>86</v>
      </c>
      <c r="H82" s="17">
        <v>92</v>
      </c>
      <c r="I82" s="18">
        <f t="shared" si="2"/>
        <v>87</v>
      </c>
      <c r="J82" s="15" t="s">
        <v>374</v>
      </c>
    </row>
    <row r="83" spans="1:10" ht="33.950000000000003" customHeight="1" x14ac:dyDescent="0.25">
      <c r="A83" s="19">
        <v>82</v>
      </c>
      <c r="B83" s="19" t="s">
        <v>514</v>
      </c>
      <c r="C83" s="19" t="s">
        <v>50</v>
      </c>
      <c r="D83" s="19" t="s">
        <v>515</v>
      </c>
      <c r="E83" s="19" t="s">
        <v>24</v>
      </c>
      <c r="F83" s="20">
        <v>86</v>
      </c>
      <c r="G83" s="21">
        <v>86</v>
      </c>
      <c r="H83" s="21">
        <v>92</v>
      </c>
      <c r="I83" s="22">
        <f t="shared" si="2"/>
        <v>87</v>
      </c>
      <c r="J83" s="19" t="s">
        <v>374</v>
      </c>
    </row>
    <row r="84" spans="1:10" ht="33.950000000000003" customHeight="1" x14ac:dyDescent="0.25">
      <c r="A84" s="15">
        <v>83</v>
      </c>
      <c r="B84" s="15" t="s">
        <v>516</v>
      </c>
      <c r="C84" s="15" t="s">
        <v>50</v>
      </c>
      <c r="D84" s="15" t="s">
        <v>517</v>
      </c>
      <c r="E84" s="15" t="s">
        <v>24</v>
      </c>
      <c r="F84" s="16">
        <v>86</v>
      </c>
      <c r="G84" s="17">
        <v>86</v>
      </c>
      <c r="H84" s="17">
        <v>92</v>
      </c>
      <c r="I84" s="18">
        <f t="shared" si="2"/>
        <v>87</v>
      </c>
      <c r="J84" s="15" t="s">
        <v>374</v>
      </c>
    </row>
    <row r="85" spans="1:10" ht="33.950000000000003" customHeight="1" x14ac:dyDescent="0.25">
      <c r="A85" s="19">
        <v>84</v>
      </c>
      <c r="B85" s="19" t="s">
        <v>518</v>
      </c>
      <c r="C85" s="19" t="s">
        <v>33</v>
      </c>
      <c r="D85" s="19" t="s">
        <v>386</v>
      </c>
      <c r="E85" s="19" t="s">
        <v>24</v>
      </c>
      <c r="F85" s="20">
        <v>86</v>
      </c>
      <c r="G85" s="21">
        <v>86</v>
      </c>
      <c r="H85" s="21">
        <v>92</v>
      </c>
      <c r="I85" s="22">
        <f t="shared" si="2"/>
        <v>87</v>
      </c>
      <c r="J85" s="19" t="s">
        <v>374</v>
      </c>
    </row>
    <row r="86" spans="1:10" ht="33.950000000000003" customHeight="1" x14ac:dyDescent="0.25">
      <c r="A86" s="15">
        <v>85</v>
      </c>
      <c r="B86" s="15" t="s">
        <v>519</v>
      </c>
      <c r="C86" s="15" t="s">
        <v>33</v>
      </c>
      <c r="D86" s="15" t="s">
        <v>520</v>
      </c>
      <c r="E86" s="15" t="s">
        <v>24</v>
      </c>
      <c r="F86" s="16">
        <v>86</v>
      </c>
      <c r="G86" s="17">
        <v>86</v>
      </c>
      <c r="H86" s="17">
        <v>92</v>
      </c>
      <c r="I86" s="18">
        <f t="shared" si="2"/>
        <v>87</v>
      </c>
      <c r="J86" s="15" t="s">
        <v>374</v>
      </c>
    </row>
    <row r="87" spans="1:10" ht="33.950000000000003" customHeight="1" x14ac:dyDescent="0.25">
      <c r="A87" s="19">
        <v>86</v>
      </c>
      <c r="B87" s="19" t="s">
        <v>521</v>
      </c>
      <c r="C87" s="19" t="s">
        <v>33</v>
      </c>
      <c r="D87" s="19" t="s">
        <v>386</v>
      </c>
      <c r="E87" s="19" t="s">
        <v>24</v>
      </c>
      <c r="F87" s="20">
        <v>86</v>
      </c>
      <c r="G87" s="21">
        <v>86</v>
      </c>
      <c r="H87" s="21">
        <v>92</v>
      </c>
      <c r="I87" s="22">
        <f t="shared" si="2"/>
        <v>87</v>
      </c>
      <c r="J87" s="19" t="s">
        <v>374</v>
      </c>
    </row>
    <row r="88" spans="1:10" ht="33.950000000000003" customHeight="1" x14ac:dyDescent="0.25">
      <c r="A88" s="15">
        <v>87</v>
      </c>
      <c r="B88" s="15" t="s">
        <v>522</v>
      </c>
      <c r="C88" s="15" t="s">
        <v>47</v>
      </c>
      <c r="D88" s="15" t="s">
        <v>386</v>
      </c>
      <c r="E88" s="15" t="s">
        <v>24</v>
      </c>
      <c r="F88" s="16">
        <v>86</v>
      </c>
      <c r="G88" s="17">
        <v>86</v>
      </c>
      <c r="H88" s="17">
        <v>92</v>
      </c>
      <c r="I88" s="18">
        <f t="shared" si="2"/>
        <v>87</v>
      </c>
      <c r="J88" s="15" t="s">
        <v>374</v>
      </c>
    </row>
    <row r="89" spans="1:10" ht="33.950000000000003" customHeight="1" x14ac:dyDescent="0.25">
      <c r="A89" s="19">
        <v>88</v>
      </c>
      <c r="B89" s="19" t="s">
        <v>26</v>
      </c>
      <c r="C89" s="19" t="s">
        <v>27</v>
      </c>
      <c r="D89" s="19" t="s">
        <v>386</v>
      </c>
      <c r="E89" s="19" t="s">
        <v>24</v>
      </c>
      <c r="F89" s="20">
        <v>86</v>
      </c>
      <c r="G89" s="21">
        <v>86</v>
      </c>
      <c r="H89" s="21">
        <v>92</v>
      </c>
      <c r="I89" s="22">
        <f t="shared" si="2"/>
        <v>87</v>
      </c>
      <c r="J89" s="19" t="s">
        <v>374</v>
      </c>
    </row>
    <row r="90" spans="1:10" ht="33.950000000000003" customHeight="1" x14ac:dyDescent="0.25">
      <c r="A90" s="15">
        <v>89</v>
      </c>
      <c r="B90" s="15" t="s">
        <v>523</v>
      </c>
      <c r="C90" s="15" t="s">
        <v>173</v>
      </c>
      <c r="D90" s="15" t="s">
        <v>513</v>
      </c>
      <c r="E90" s="15" t="s">
        <v>24</v>
      </c>
      <c r="F90" s="16">
        <v>86</v>
      </c>
      <c r="G90" s="17">
        <v>86</v>
      </c>
      <c r="H90" s="17">
        <v>92</v>
      </c>
      <c r="I90" s="18">
        <f t="shared" si="2"/>
        <v>87</v>
      </c>
      <c r="J90" s="15" t="s">
        <v>374</v>
      </c>
    </row>
    <row r="91" spans="1:10" ht="33.950000000000003" customHeight="1" x14ac:dyDescent="0.25">
      <c r="A91" s="19">
        <v>90</v>
      </c>
      <c r="B91" s="19" t="s">
        <v>524</v>
      </c>
      <c r="C91" s="19" t="s">
        <v>43</v>
      </c>
      <c r="D91" s="19" t="s">
        <v>513</v>
      </c>
      <c r="E91" s="19" t="s">
        <v>24</v>
      </c>
      <c r="F91" s="20">
        <v>85</v>
      </c>
      <c r="G91" s="21">
        <v>85</v>
      </c>
      <c r="H91" s="21">
        <v>91</v>
      </c>
      <c r="I91" s="22">
        <f t="shared" si="2"/>
        <v>86</v>
      </c>
      <c r="J91" s="19" t="s">
        <v>374</v>
      </c>
    </row>
    <row r="92" spans="1:10" ht="33.950000000000003" customHeight="1" x14ac:dyDescent="0.25">
      <c r="A92" s="15">
        <v>91</v>
      </c>
      <c r="B92" s="15" t="s">
        <v>525</v>
      </c>
      <c r="C92" s="15" t="s">
        <v>61</v>
      </c>
      <c r="D92" s="15" t="s">
        <v>373</v>
      </c>
      <c r="E92" s="15" t="s">
        <v>24</v>
      </c>
      <c r="F92" s="16">
        <v>85</v>
      </c>
      <c r="G92" s="17">
        <v>85</v>
      </c>
      <c r="H92" s="17">
        <v>91</v>
      </c>
      <c r="I92" s="18">
        <f t="shared" si="2"/>
        <v>86</v>
      </c>
      <c r="J92" s="15" t="s">
        <v>374</v>
      </c>
    </row>
    <row r="93" spans="1:10" ht="33.950000000000003" customHeight="1" x14ac:dyDescent="0.25">
      <c r="A93" s="19">
        <v>92</v>
      </c>
      <c r="B93" s="19" t="s">
        <v>526</v>
      </c>
      <c r="C93" s="19" t="s">
        <v>43</v>
      </c>
      <c r="D93" s="19" t="s">
        <v>373</v>
      </c>
      <c r="E93" s="19" t="s">
        <v>24</v>
      </c>
      <c r="F93" s="20">
        <v>85</v>
      </c>
      <c r="G93" s="21">
        <v>85</v>
      </c>
      <c r="H93" s="21">
        <v>91</v>
      </c>
      <c r="I93" s="22">
        <f t="shared" si="2"/>
        <v>86</v>
      </c>
      <c r="J93" s="19" t="s">
        <v>374</v>
      </c>
    </row>
    <row r="94" spans="1:10" ht="33.950000000000003" customHeight="1" x14ac:dyDescent="0.25">
      <c r="A94" s="15">
        <v>93</v>
      </c>
      <c r="B94" s="15" t="s">
        <v>527</v>
      </c>
      <c r="C94" s="15" t="s">
        <v>50</v>
      </c>
      <c r="D94" s="15" t="s">
        <v>373</v>
      </c>
      <c r="E94" s="15" t="s">
        <v>24</v>
      </c>
      <c r="F94" s="16">
        <v>85</v>
      </c>
      <c r="G94" s="17">
        <v>85</v>
      </c>
      <c r="H94" s="17">
        <v>91</v>
      </c>
      <c r="I94" s="18">
        <f t="shared" si="2"/>
        <v>86</v>
      </c>
      <c r="J94" s="15" t="s">
        <v>374</v>
      </c>
    </row>
    <row r="95" spans="1:10" ht="33.950000000000003" customHeight="1" x14ac:dyDescent="0.25">
      <c r="A95" s="19">
        <v>94</v>
      </c>
      <c r="B95" s="19" t="s">
        <v>528</v>
      </c>
      <c r="C95" s="19" t="s">
        <v>50</v>
      </c>
      <c r="D95" s="19" t="s">
        <v>373</v>
      </c>
      <c r="E95" s="19" t="s">
        <v>24</v>
      </c>
      <c r="F95" s="20">
        <v>85</v>
      </c>
      <c r="G95" s="21">
        <v>85</v>
      </c>
      <c r="H95" s="21">
        <v>91</v>
      </c>
      <c r="I95" s="22">
        <f t="shared" si="2"/>
        <v>86</v>
      </c>
      <c r="J95" s="19" t="s">
        <v>374</v>
      </c>
    </row>
    <row r="96" spans="1:10" ht="33.950000000000003" customHeight="1" x14ac:dyDescent="0.25">
      <c r="A96" s="15">
        <v>95</v>
      </c>
      <c r="B96" s="15" t="s">
        <v>529</v>
      </c>
      <c r="C96" s="15" t="s">
        <v>58</v>
      </c>
      <c r="D96" s="15" t="s">
        <v>530</v>
      </c>
      <c r="E96" s="15" t="s">
        <v>24</v>
      </c>
      <c r="F96" s="16">
        <v>85</v>
      </c>
      <c r="G96" s="17">
        <v>85</v>
      </c>
      <c r="H96" s="17">
        <v>91</v>
      </c>
      <c r="I96" s="18">
        <f t="shared" si="2"/>
        <v>86</v>
      </c>
      <c r="J96" s="15" t="s">
        <v>374</v>
      </c>
    </row>
    <row r="97" spans="1:10" ht="33.950000000000003" customHeight="1" x14ac:dyDescent="0.25">
      <c r="A97" s="19">
        <v>96</v>
      </c>
      <c r="B97" s="19" t="s">
        <v>531</v>
      </c>
      <c r="C97" s="19" t="s">
        <v>50</v>
      </c>
      <c r="D97" s="19" t="s">
        <v>376</v>
      </c>
      <c r="E97" s="19" t="s">
        <v>24</v>
      </c>
      <c r="F97" s="20">
        <v>85</v>
      </c>
      <c r="G97" s="21">
        <v>85</v>
      </c>
      <c r="H97" s="21">
        <v>91</v>
      </c>
      <c r="I97" s="22">
        <f t="shared" si="2"/>
        <v>86</v>
      </c>
      <c r="J97" s="19" t="s">
        <v>374</v>
      </c>
    </row>
    <row r="98" spans="1:10" ht="33.950000000000003" customHeight="1" x14ac:dyDescent="0.25">
      <c r="A98" s="15">
        <v>97</v>
      </c>
      <c r="B98" s="15" t="s">
        <v>532</v>
      </c>
      <c r="C98" s="15" t="s">
        <v>39</v>
      </c>
      <c r="D98" s="15" t="s">
        <v>376</v>
      </c>
      <c r="E98" s="15" t="s">
        <v>24</v>
      </c>
      <c r="F98" s="16">
        <v>85</v>
      </c>
      <c r="G98" s="17">
        <v>85</v>
      </c>
      <c r="H98" s="17">
        <v>91</v>
      </c>
      <c r="I98" s="18">
        <f t="shared" ref="I98:I129" si="3">ROUND(F98*0.55+G98*0.3+H98*0.15,0)</f>
        <v>86</v>
      </c>
      <c r="J98" s="15" t="s">
        <v>374</v>
      </c>
    </row>
    <row r="99" spans="1:10" ht="33.950000000000003" customHeight="1" x14ac:dyDescent="0.25">
      <c r="A99" s="19">
        <v>98</v>
      </c>
      <c r="B99" s="19" t="s">
        <v>533</v>
      </c>
      <c r="C99" s="19" t="s">
        <v>37</v>
      </c>
      <c r="D99" s="19" t="s">
        <v>376</v>
      </c>
      <c r="E99" s="19" t="s">
        <v>24</v>
      </c>
      <c r="F99" s="20">
        <v>85</v>
      </c>
      <c r="G99" s="21">
        <v>85</v>
      </c>
      <c r="H99" s="21">
        <v>91</v>
      </c>
      <c r="I99" s="22">
        <f t="shared" si="3"/>
        <v>86</v>
      </c>
      <c r="J99" s="19" t="s">
        <v>374</v>
      </c>
    </row>
    <row r="100" spans="1:10" ht="33.950000000000003" customHeight="1" x14ac:dyDescent="0.25">
      <c r="A100" s="15">
        <v>99</v>
      </c>
      <c r="B100" s="15" t="s">
        <v>534</v>
      </c>
      <c r="C100" s="15" t="s">
        <v>43</v>
      </c>
      <c r="D100" s="15" t="s">
        <v>376</v>
      </c>
      <c r="E100" s="15" t="s">
        <v>24</v>
      </c>
      <c r="F100" s="16">
        <v>85</v>
      </c>
      <c r="G100" s="17">
        <v>85</v>
      </c>
      <c r="H100" s="17">
        <v>91</v>
      </c>
      <c r="I100" s="18">
        <f t="shared" si="3"/>
        <v>86</v>
      </c>
      <c r="J100" s="15" t="s">
        <v>374</v>
      </c>
    </row>
    <row r="101" spans="1:10" ht="33.950000000000003" customHeight="1" x14ac:dyDescent="0.25">
      <c r="A101" s="19">
        <v>100</v>
      </c>
      <c r="B101" s="19" t="s">
        <v>535</v>
      </c>
      <c r="C101" s="19" t="s">
        <v>43</v>
      </c>
      <c r="D101" s="19" t="s">
        <v>536</v>
      </c>
      <c r="E101" s="19" t="s">
        <v>24</v>
      </c>
      <c r="F101" s="20">
        <v>85</v>
      </c>
      <c r="G101" s="21">
        <v>85</v>
      </c>
      <c r="H101" s="21">
        <v>91</v>
      </c>
      <c r="I101" s="22">
        <f t="shared" si="3"/>
        <v>86</v>
      </c>
      <c r="J101" s="19" t="s">
        <v>374</v>
      </c>
    </row>
    <row r="102" spans="1:10" ht="33.950000000000003" customHeight="1" x14ac:dyDescent="0.25">
      <c r="A102" s="15">
        <v>101</v>
      </c>
      <c r="B102" s="15" t="s">
        <v>537</v>
      </c>
      <c r="C102" s="15" t="s">
        <v>58</v>
      </c>
      <c r="D102" s="15" t="s">
        <v>379</v>
      </c>
      <c r="E102" s="15" t="s">
        <v>24</v>
      </c>
      <c r="F102" s="16">
        <v>84</v>
      </c>
      <c r="G102" s="17">
        <v>84</v>
      </c>
      <c r="H102" s="17">
        <v>90</v>
      </c>
      <c r="I102" s="18">
        <f t="shared" si="3"/>
        <v>85</v>
      </c>
      <c r="J102" s="15" t="s">
        <v>374</v>
      </c>
    </row>
    <row r="103" spans="1:10" ht="33.950000000000003" customHeight="1" x14ac:dyDescent="0.25">
      <c r="A103" s="19">
        <v>102</v>
      </c>
      <c r="B103" s="19" t="s">
        <v>538</v>
      </c>
      <c r="C103" s="19" t="s">
        <v>136</v>
      </c>
      <c r="D103" s="19" t="s">
        <v>379</v>
      </c>
      <c r="E103" s="19" t="s">
        <v>24</v>
      </c>
      <c r="F103" s="20">
        <v>84</v>
      </c>
      <c r="G103" s="21">
        <v>84</v>
      </c>
      <c r="H103" s="21">
        <v>90</v>
      </c>
      <c r="I103" s="22">
        <f t="shared" si="3"/>
        <v>85</v>
      </c>
      <c r="J103" s="19" t="s">
        <v>374</v>
      </c>
    </row>
    <row r="104" spans="1:10" ht="33.950000000000003" customHeight="1" x14ac:dyDescent="0.25">
      <c r="A104" s="15">
        <v>103</v>
      </c>
      <c r="B104" s="15" t="s">
        <v>539</v>
      </c>
      <c r="C104" s="15" t="s">
        <v>50</v>
      </c>
      <c r="D104" s="15" t="s">
        <v>379</v>
      </c>
      <c r="E104" s="15" t="s">
        <v>24</v>
      </c>
      <c r="F104" s="16">
        <v>84</v>
      </c>
      <c r="G104" s="17">
        <v>84</v>
      </c>
      <c r="H104" s="17">
        <v>90</v>
      </c>
      <c r="I104" s="18">
        <f t="shared" si="3"/>
        <v>85</v>
      </c>
      <c r="J104" s="15" t="s">
        <v>374</v>
      </c>
    </row>
    <row r="105" spans="1:10" ht="33.950000000000003" customHeight="1" x14ac:dyDescent="0.25">
      <c r="A105" s="19">
        <v>104</v>
      </c>
      <c r="B105" s="19" t="s">
        <v>540</v>
      </c>
      <c r="C105" s="19" t="s">
        <v>120</v>
      </c>
      <c r="D105" s="19" t="s">
        <v>541</v>
      </c>
      <c r="E105" s="19" t="s">
        <v>24</v>
      </c>
      <c r="F105" s="20">
        <v>84</v>
      </c>
      <c r="G105" s="21">
        <v>84</v>
      </c>
      <c r="H105" s="21">
        <v>90</v>
      </c>
      <c r="I105" s="22">
        <f t="shared" si="3"/>
        <v>85</v>
      </c>
      <c r="J105" s="19" t="s">
        <v>374</v>
      </c>
    </row>
    <row r="106" spans="1:10" ht="33.950000000000003" customHeight="1" x14ac:dyDescent="0.25">
      <c r="A106" s="15">
        <v>105</v>
      </c>
      <c r="B106" s="15" t="s">
        <v>542</v>
      </c>
      <c r="C106" s="15" t="s">
        <v>209</v>
      </c>
      <c r="D106" s="15" t="s">
        <v>543</v>
      </c>
      <c r="E106" s="15" t="s">
        <v>24</v>
      </c>
      <c r="F106" s="16">
        <v>84</v>
      </c>
      <c r="G106" s="17">
        <v>84</v>
      </c>
      <c r="H106" s="17">
        <v>90</v>
      </c>
      <c r="I106" s="18">
        <f t="shared" si="3"/>
        <v>85</v>
      </c>
      <c r="J106" s="15" t="s">
        <v>374</v>
      </c>
    </row>
    <row r="107" spans="1:10" ht="33.950000000000003" customHeight="1" x14ac:dyDescent="0.25">
      <c r="A107" s="19">
        <v>106</v>
      </c>
      <c r="B107" s="19" t="s">
        <v>256</v>
      </c>
      <c r="C107" s="19" t="s">
        <v>154</v>
      </c>
      <c r="D107" s="19" t="s">
        <v>511</v>
      </c>
      <c r="E107" s="19" t="s">
        <v>24</v>
      </c>
      <c r="F107" s="20">
        <v>84</v>
      </c>
      <c r="G107" s="21">
        <v>84</v>
      </c>
      <c r="H107" s="21">
        <v>90</v>
      </c>
      <c r="I107" s="22">
        <f t="shared" si="3"/>
        <v>85</v>
      </c>
      <c r="J107" s="19" t="s">
        <v>374</v>
      </c>
    </row>
    <row r="108" spans="1:10" ht="33.950000000000003" customHeight="1" x14ac:dyDescent="0.25">
      <c r="A108" s="15">
        <v>107</v>
      </c>
      <c r="B108" s="15" t="s">
        <v>544</v>
      </c>
      <c r="C108" s="15" t="s">
        <v>89</v>
      </c>
      <c r="D108" s="15" t="s">
        <v>386</v>
      </c>
      <c r="E108" s="15" t="s">
        <v>24</v>
      </c>
      <c r="F108" s="16">
        <v>84</v>
      </c>
      <c r="G108" s="17">
        <v>84</v>
      </c>
      <c r="H108" s="17">
        <v>90</v>
      </c>
      <c r="I108" s="18">
        <f t="shared" si="3"/>
        <v>85</v>
      </c>
      <c r="J108" s="15" t="s">
        <v>374</v>
      </c>
    </row>
    <row r="109" spans="1:10" ht="33.950000000000003" customHeight="1" x14ac:dyDescent="0.25">
      <c r="A109" s="19">
        <v>108</v>
      </c>
      <c r="B109" s="19" t="s">
        <v>545</v>
      </c>
      <c r="C109" s="19" t="s">
        <v>86</v>
      </c>
      <c r="D109" s="19" t="s">
        <v>427</v>
      </c>
      <c r="E109" s="19" t="s">
        <v>24</v>
      </c>
      <c r="F109" s="20">
        <v>84</v>
      </c>
      <c r="G109" s="21">
        <v>84</v>
      </c>
      <c r="H109" s="21">
        <v>90</v>
      </c>
      <c r="I109" s="22">
        <f t="shared" si="3"/>
        <v>85</v>
      </c>
      <c r="J109" s="19" t="s">
        <v>374</v>
      </c>
    </row>
    <row r="110" spans="1:10" ht="33.950000000000003" customHeight="1" x14ac:dyDescent="0.25">
      <c r="A110" s="15">
        <v>109</v>
      </c>
      <c r="B110" s="15" t="s">
        <v>546</v>
      </c>
      <c r="C110" s="15" t="s">
        <v>33</v>
      </c>
      <c r="D110" s="15" t="s">
        <v>547</v>
      </c>
      <c r="E110" s="15" t="s">
        <v>24</v>
      </c>
      <c r="F110" s="16">
        <v>84</v>
      </c>
      <c r="G110" s="17">
        <v>84</v>
      </c>
      <c r="H110" s="17">
        <v>90</v>
      </c>
      <c r="I110" s="18">
        <f t="shared" si="3"/>
        <v>85</v>
      </c>
      <c r="J110" s="15" t="s">
        <v>374</v>
      </c>
    </row>
    <row r="111" spans="1:10" ht="33.950000000000003" customHeight="1" x14ac:dyDescent="0.25">
      <c r="A111" s="19">
        <v>110</v>
      </c>
      <c r="B111" s="19" t="s">
        <v>548</v>
      </c>
      <c r="C111" s="19" t="s">
        <v>50</v>
      </c>
      <c r="D111" s="19" t="s">
        <v>549</v>
      </c>
      <c r="E111" s="19" t="s">
        <v>24</v>
      </c>
      <c r="F111" s="20">
        <v>84</v>
      </c>
      <c r="G111" s="21">
        <v>84</v>
      </c>
      <c r="H111" s="21">
        <v>90</v>
      </c>
      <c r="I111" s="22">
        <f t="shared" si="3"/>
        <v>85</v>
      </c>
      <c r="J111" s="19" t="s">
        <v>374</v>
      </c>
    </row>
    <row r="112" spans="1:10" ht="33.950000000000003" customHeight="1" x14ac:dyDescent="0.25">
      <c r="A112" s="15">
        <v>111</v>
      </c>
      <c r="B112" s="15" t="s">
        <v>550</v>
      </c>
      <c r="C112" s="15" t="s">
        <v>33</v>
      </c>
      <c r="D112" s="15" t="s">
        <v>551</v>
      </c>
      <c r="E112" s="15" t="s">
        <v>24</v>
      </c>
      <c r="F112" s="16">
        <v>84</v>
      </c>
      <c r="G112" s="17">
        <v>84</v>
      </c>
      <c r="H112" s="17">
        <v>90</v>
      </c>
      <c r="I112" s="18">
        <f t="shared" si="3"/>
        <v>85</v>
      </c>
      <c r="J112" s="15" t="s">
        <v>374</v>
      </c>
    </row>
    <row r="113" spans="1:10" ht="33.950000000000003" customHeight="1" x14ac:dyDescent="0.25">
      <c r="A113" s="19">
        <v>112</v>
      </c>
      <c r="B113" s="19" t="s">
        <v>552</v>
      </c>
      <c r="C113" s="19" t="s">
        <v>53</v>
      </c>
      <c r="D113" s="19" t="s">
        <v>553</v>
      </c>
      <c r="E113" s="19" t="s">
        <v>24</v>
      </c>
      <c r="F113" s="20">
        <v>84</v>
      </c>
      <c r="G113" s="21">
        <v>84</v>
      </c>
      <c r="H113" s="21">
        <v>90</v>
      </c>
      <c r="I113" s="22">
        <f t="shared" si="3"/>
        <v>85</v>
      </c>
      <c r="J113" s="19" t="s">
        <v>374</v>
      </c>
    </row>
    <row r="114" spans="1:10" ht="33.950000000000003" customHeight="1" x14ac:dyDescent="0.25">
      <c r="A114" s="15">
        <v>113</v>
      </c>
      <c r="B114" s="15" t="s">
        <v>554</v>
      </c>
      <c r="C114" s="15" t="s">
        <v>43</v>
      </c>
      <c r="D114" s="15" t="s">
        <v>555</v>
      </c>
      <c r="E114" s="15" t="s">
        <v>24</v>
      </c>
      <c r="F114" s="16">
        <v>84</v>
      </c>
      <c r="G114" s="17">
        <v>84</v>
      </c>
      <c r="H114" s="17">
        <v>90</v>
      </c>
      <c r="I114" s="18">
        <f t="shared" si="3"/>
        <v>85</v>
      </c>
      <c r="J114" s="15" t="s">
        <v>374</v>
      </c>
    </row>
    <row r="115" spans="1:10" ht="33.950000000000003" customHeight="1" x14ac:dyDescent="0.25">
      <c r="A115" s="19">
        <v>114</v>
      </c>
      <c r="B115" s="19" t="s">
        <v>556</v>
      </c>
      <c r="C115" s="19" t="s">
        <v>557</v>
      </c>
      <c r="D115" s="19" t="s">
        <v>558</v>
      </c>
      <c r="E115" s="19" t="s">
        <v>24</v>
      </c>
      <c r="F115" s="20">
        <v>84</v>
      </c>
      <c r="G115" s="21">
        <v>84</v>
      </c>
      <c r="H115" s="21">
        <v>90</v>
      </c>
      <c r="I115" s="22">
        <f t="shared" si="3"/>
        <v>85</v>
      </c>
      <c r="J115" s="19" t="s">
        <v>374</v>
      </c>
    </row>
    <row r="116" spans="1:10" ht="33.950000000000003" customHeight="1" x14ac:dyDescent="0.25">
      <c r="A116" s="15">
        <v>115</v>
      </c>
      <c r="B116" s="15" t="s">
        <v>559</v>
      </c>
      <c r="C116" s="15" t="s">
        <v>50</v>
      </c>
      <c r="D116" s="15" t="s">
        <v>560</v>
      </c>
      <c r="E116" s="15" t="s">
        <v>24</v>
      </c>
      <c r="F116" s="16">
        <v>84</v>
      </c>
      <c r="G116" s="17">
        <v>84</v>
      </c>
      <c r="H116" s="17">
        <v>90</v>
      </c>
      <c r="I116" s="18">
        <f t="shared" si="3"/>
        <v>85</v>
      </c>
      <c r="J116" s="15" t="s">
        <v>374</v>
      </c>
    </row>
    <row r="117" spans="1:10" ht="33.950000000000003" customHeight="1" x14ac:dyDescent="0.25">
      <c r="A117" s="19">
        <v>116</v>
      </c>
      <c r="B117" s="19" t="s">
        <v>561</v>
      </c>
      <c r="C117" s="19" t="s">
        <v>50</v>
      </c>
      <c r="D117" s="19" t="s">
        <v>562</v>
      </c>
      <c r="E117" s="19" t="s">
        <v>24</v>
      </c>
      <c r="F117" s="20">
        <v>84</v>
      </c>
      <c r="G117" s="21">
        <v>84</v>
      </c>
      <c r="H117" s="21">
        <v>90</v>
      </c>
      <c r="I117" s="22">
        <f t="shared" si="3"/>
        <v>85</v>
      </c>
      <c r="J117" s="19" t="s">
        <v>374</v>
      </c>
    </row>
    <row r="118" spans="1:10" ht="33.950000000000003" customHeight="1" x14ac:dyDescent="0.25">
      <c r="A118" s="15">
        <v>117</v>
      </c>
      <c r="B118" s="15" t="s">
        <v>563</v>
      </c>
      <c r="C118" s="15" t="s">
        <v>33</v>
      </c>
      <c r="D118" s="15" t="s">
        <v>564</v>
      </c>
      <c r="E118" s="15" t="s">
        <v>24</v>
      </c>
      <c r="F118" s="16">
        <v>84</v>
      </c>
      <c r="G118" s="17">
        <v>84</v>
      </c>
      <c r="H118" s="17">
        <v>90</v>
      </c>
      <c r="I118" s="18">
        <f t="shared" si="3"/>
        <v>85</v>
      </c>
      <c r="J118" s="15" t="s">
        <v>374</v>
      </c>
    </row>
    <row r="119" spans="1:10" ht="33.950000000000003" customHeight="1" x14ac:dyDescent="0.25">
      <c r="A119" s="19">
        <v>118</v>
      </c>
      <c r="B119" s="19" t="s">
        <v>565</v>
      </c>
      <c r="C119" s="19" t="s">
        <v>43</v>
      </c>
      <c r="D119" s="19" t="s">
        <v>566</v>
      </c>
      <c r="E119" s="19" t="s">
        <v>24</v>
      </c>
      <c r="F119" s="20">
        <v>83</v>
      </c>
      <c r="G119" s="21">
        <v>83</v>
      </c>
      <c r="H119" s="21">
        <v>89</v>
      </c>
      <c r="I119" s="22">
        <f t="shared" si="3"/>
        <v>84</v>
      </c>
      <c r="J119" s="19" t="s">
        <v>374</v>
      </c>
    </row>
    <row r="120" spans="1:10" ht="33.950000000000003" customHeight="1" x14ac:dyDescent="0.25">
      <c r="A120" s="15">
        <v>119</v>
      </c>
      <c r="B120" s="15" t="s">
        <v>567</v>
      </c>
      <c r="C120" s="15" t="s">
        <v>43</v>
      </c>
      <c r="D120" s="15" t="s">
        <v>407</v>
      </c>
      <c r="E120" s="15" t="s">
        <v>24</v>
      </c>
      <c r="F120" s="16">
        <v>83</v>
      </c>
      <c r="G120" s="17">
        <v>83</v>
      </c>
      <c r="H120" s="17">
        <v>89</v>
      </c>
      <c r="I120" s="18">
        <f t="shared" si="3"/>
        <v>84</v>
      </c>
      <c r="J120" s="15" t="s">
        <v>374</v>
      </c>
    </row>
    <row r="121" spans="1:10" ht="33.950000000000003" customHeight="1" x14ac:dyDescent="0.25">
      <c r="A121" s="19">
        <v>120</v>
      </c>
      <c r="B121" s="19" t="s">
        <v>318</v>
      </c>
      <c r="C121" s="19" t="s">
        <v>35</v>
      </c>
      <c r="D121" s="19" t="s">
        <v>504</v>
      </c>
      <c r="E121" s="19" t="s">
        <v>24</v>
      </c>
      <c r="F121" s="20">
        <v>83</v>
      </c>
      <c r="G121" s="21">
        <v>83</v>
      </c>
      <c r="H121" s="21">
        <v>89</v>
      </c>
      <c r="I121" s="22">
        <f t="shared" si="3"/>
        <v>84</v>
      </c>
      <c r="J121" s="19" t="s">
        <v>374</v>
      </c>
    </row>
    <row r="122" spans="1:10" ht="33.950000000000003" customHeight="1" x14ac:dyDescent="0.25">
      <c r="A122" s="15">
        <v>121</v>
      </c>
      <c r="B122" s="15" t="s">
        <v>568</v>
      </c>
      <c r="C122" s="15" t="s">
        <v>33</v>
      </c>
      <c r="D122" s="15" t="s">
        <v>376</v>
      </c>
      <c r="E122" s="15" t="s">
        <v>24</v>
      </c>
      <c r="F122" s="16">
        <v>83</v>
      </c>
      <c r="G122" s="17">
        <v>83</v>
      </c>
      <c r="H122" s="17">
        <v>89</v>
      </c>
      <c r="I122" s="18">
        <f t="shared" si="3"/>
        <v>84</v>
      </c>
      <c r="J122" s="15" t="s">
        <v>374</v>
      </c>
    </row>
    <row r="123" spans="1:10" ht="33.950000000000003" customHeight="1" x14ac:dyDescent="0.25">
      <c r="A123" s="19">
        <v>122</v>
      </c>
      <c r="B123" s="19" t="s">
        <v>569</v>
      </c>
      <c r="C123" s="19" t="s">
        <v>120</v>
      </c>
      <c r="D123" s="19" t="s">
        <v>570</v>
      </c>
      <c r="E123" s="19" t="s">
        <v>24</v>
      </c>
      <c r="F123" s="20">
        <v>83</v>
      </c>
      <c r="G123" s="21">
        <v>83</v>
      </c>
      <c r="H123" s="21">
        <v>89</v>
      </c>
      <c r="I123" s="22">
        <f t="shared" si="3"/>
        <v>84</v>
      </c>
      <c r="J123" s="19" t="s">
        <v>374</v>
      </c>
    </row>
    <row r="124" spans="1:10" ht="33.950000000000003" customHeight="1" x14ac:dyDescent="0.25">
      <c r="A124" s="15">
        <v>123</v>
      </c>
      <c r="B124" s="15" t="s">
        <v>571</v>
      </c>
      <c r="C124" s="15" t="s">
        <v>50</v>
      </c>
      <c r="D124" s="15" t="s">
        <v>376</v>
      </c>
      <c r="E124" s="15" t="s">
        <v>24</v>
      </c>
      <c r="F124" s="16">
        <v>83</v>
      </c>
      <c r="G124" s="17">
        <v>83</v>
      </c>
      <c r="H124" s="17">
        <v>89</v>
      </c>
      <c r="I124" s="18">
        <f t="shared" si="3"/>
        <v>84</v>
      </c>
      <c r="J124" s="15" t="s">
        <v>374</v>
      </c>
    </row>
    <row r="125" spans="1:10" ht="33.950000000000003" customHeight="1" x14ac:dyDescent="0.25">
      <c r="A125" s="19">
        <v>124</v>
      </c>
      <c r="B125" s="19" t="s">
        <v>572</v>
      </c>
      <c r="C125" s="19" t="s">
        <v>86</v>
      </c>
      <c r="D125" s="19" t="s">
        <v>411</v>
      </c>
      <c r="E125" s="19" t="s">
        <v>24</v>
      </c>
      <c r="F125" s="20">
        <v>83</v>
      </c>
      <c r="G125" s="21">
        <v>83</v>
      </c>
      <c r="H125" s="21">
        <v>89</v>
      </c>
      <c r="I125" s="22">
        <f t="shared" si="3"/>
        <v>84</v>
      </c>
      <c r="J125" s="19" t="s">
        <v>374</v>
      </c>
    </row>
    <row r="126" spans="1:10" ht="33.950000000000003" customHeight="1" x14ac:dyDescent="0.25">
      <c r="A126" s="15">
        <v>125</v>
      </c>
      <c r="B126" s="15" t="s">
        <v>573</v>
      </c>
      <c r="C126" s="15" t="s">
        <v>53</v>
      </c>
      <c r="D126" s="15" t="s">
        <v>376</v>
      </c>
      <c r="E126" s="15" t="s">
        <v>24</v>
      </c>
      <c r="F126" s="16">
        <v>83</v>
      </c>
      <c r="G126" s="17">
        <v>83</v>
      </c>
      <c r="H126" s="17">
        <v>89</v>
      </c>
      <c r="I126" s="18">
        <f t="shared" si="3"/>
        <v>84</v>
      </c>
      <c r="J126" s="15" t="s">
        <v>374</v>
      </c>
    </row>
    <row r="127" spans="1:10" ht="33.950000000000003" customHeight="1" x14ac:dyDescent="0.25">
      <c r="A127" s="19">
        <v>126</v>
      </c>
      <c r="B127" s="19" t="s">
        <v>574</v>
      </c>
      <c r="C127" s="19" t="s">
        <v>53</v>
      </c>
      <c r="D127" s="19" t="s">
        <v>575</v>
      </c>
      <c r="E127" s="19" t="s">
        <v>24</v>
      </c>
      <c r="F127" s="20">
        <v>83</v>
      </c>
      <c r="G127" s="21">
        <v>83</v>
      </c>
      <c r="H127" s="21">
        <v>89</v>
      </c>
      <c r="I127" s="22">
        <f t="shared" si="3"/>
        <v>84</v>
      </c>
      <c r="J127" s="19" t="s">
        <v>374</v>
      </c>
    </row>
    <row r="128" spans="1:10" ht="33.950000000000003" customHeight="1" x14ac:dyDescent="0.25">
      <c r="A128" s="15">
        <v>127</v>
      </c>
      <c r="B128" s="15" t="s">
        <v>576</v>
      </c>
      <c r="C128" s="15" t="s">
        <v>50</v>
      </c>
      <c r="D128" s="15" t="s">
        <v>376</v>
      </c>
      <c r="E128" s="15" t="s">
        <v>24</v>
      </c>
      <c r="F128" s="16">
        <v>83</v>
      </c>
      <c r="G128" s="17">
        <v>83</v>
      </c>
      <c r="H128" s="17">
        <v>89</v>
      </c>
      <c r="I128" s="18">
        <f t="shared" si="3"/>
        <v>84</v>
      </c>
      <c r="J128" s="15" t="s">
        <v>374</v>
      </c>
    </row>
    <row r="129" spans="1:10" ht="33.950000000000003" customHeight="1" x14ac:dyDescent="0.25">
      <c r="A129" s="19">
        <v>128</v>
      </c>
      <c r="B129" s="19" t="s">
        <v>577</v>
      </c>
      <c r="C129" s="19" t="s">
        <v>58</v>
      </c>
      <c r="D129" s="19" t="s">
        <v>578</v>
      </c>
      <c r="E129" s="19" t="s">
        <v>24</v>
      </c>
      <c r="F129" s="20">
        <v>83</v>
      </c>
      <c r="G129" s="21">
        <v>83</v>
      </c>
      <c r="H129" s="21">
        <v>89</v>
      </c>
      <c r="I129" s="22">
        <f t="shared" si="3"/>
        <v>84</v>
      </c>
      <c r="J129" s="19" t="s">
        <v>374</v>
      </c>
    </row>
    <row r="130" spans="1:10" ht="33.950000000000003" customHeight="1" x14ac:dyDescent="0.25">
      <c r="A130" s="15">
        <v>129</v>
      </c>
      <c r="B130" s="15" t="s">
        <v>579</v>
      </c>
      <c r="C130" s="15" t="s">
        <v>56</v>
      </c>
      <c r="D130" s="15" t="s">
        <v>580</v>
      </c>
      <c r="E130" s="15" t="s">
        <v>24</v>
      </c>
      <c r="F130" s="16">
        <v>83</v>
      </c>
      <c r="G130" s="17">
        <v>83</v>
      </c>
      <c r="H130" s="17">
        <v>89</v>
      </c>
      <c r="I130" s="18">
        <f t="shared" ref="I130:I161" si="4">ROUND(F130*0.55+G130*0.3+H130*0.15,0)</f>
        <v>84</v>
      </c>
      <c r="J130" s="15" t="s">
        <v>374</v>
      </c>
    </row>
    <row r="131" spans="1:10" ht="33.950000000000003" customHeight="1" x14ac:dyDescent="0.25">
      <c r="A131" s="19">
        <v>130</v>
      </c>
      <c r="B131" s="19" t="s">
        <v>581</v>
      </c>
      <c r="C131" s="19" t="s">
        <v>337</v>
      </c>
      <c r="D131" s="19" t="s">
        <v>376</v>
      </c>
      <c r="E131" s="19" t="s">
        <v>24</v>
      </c>
      <c r="F131" s="20">
        <v>83</v>
      </c>
      <c r="G131" s="21">
        <v>83</v>
      </c>
      <c r="H131" s="21">
        <v>89</v>
      </c>
      <c r="I131" s="22">
        <f t="shared" si="4"/>
        <v>84</v>
      </c>
      <c r="J131" s="19" t="s">
        <v>374</v>
      </c>
    </row>
    <row r="132" spans="1:10" ht="33.950000000000003" customHeight="1" x14ac:dyDescent="0.25">
      <c r="A132" s="15">
        <v>131</v>
      </c>
      <c r="B132" s="15" t="s">
        <v>582</v>
      </c>
      <c r="C132" s="15" t="s">
        <v>139</v>
      </c>
      <c r="D132" s="15" t="s">
        <v>376</v>
      </c>
      <c r="E132" s="15" t="s">
        <v>24</v>
      </c>
      <c r="F132" s="16">
        <v>83</v>
      </c>
      <c r="G132" s="17">
        <v>83</v>
      </c>
      <c r="H132" s="17">
        <v>89</v>
      </c>
      <c r="I132" s="18">
        <f t="shared" si="4"/>
        <v>84</v>
      </c>
      <c r="J132" s="15" t="s">
        <v>374</v>
      </c>
    </row>
    <row r="133" spans="1:10" ht="33.950000000000003" customHeight="1" x14ac:dyDescent="0.25">
      <c r="A133" s="19">
        <v>132</v>
      </c>
      <c r="B133" s="19" t="s">
        <v>583</v>
      </c>
      <c r="C133" s="19" t="s">
        <v>43</v>
      </c>
      <c r="D133" s="19" t="s">
        <v>376</v>
      </c>
      <c r="E133" s="19" t="s">
        <v>24</v>
      </c>
      <c r="F133" s="20">
        <v>83</v>
      </c>
      <c r="G133" s="21">
        <v>83</v>
      </c>
      <c r="H133" s="21">
        <v>89</v>
      </c>
      <c r="I133" s="22">
        <f t="shared" si="4"/>
        <v>84</v>
      </c>
      <c r="J133" s="19" t="s">
        <v>374</v>
      </c>
    </row>
    <row r="134" spans="1:10" ht="33.950000000000003" customHeight="1" x14ac:dyDescent="0.25">
      <c r="A134" s="15">
        <v>133</v>
      </c>
      <c r="B134" s="15" t="s">
        <v>584</v>
      </c>
      <c r="C134" s="15" t="s">
        <v>328</v>
      </c>
      <c r="D134" s="15" t="s">
        <v>376</v>
      </c>
      <c r="E134" s="15" t="s">
        <v>24</v>
      </c>
      <c r="F134" s="16">
        <v>83</v>
      </c>
      <c r="G134" s="17">
        <v>83</v>
      </c>
      <c r="H134" s="17">
        <v>89</v>
      </c>
      <c r="I134" s="18">
        <f t="shared" si="4"/>
        <v>84</v>
      </c>
      <c r="J134" s="15" t="s">
        <v>374</v>
      </c>
    </row>
    <row r="135" spans="1:10" ht="33.950000000000003" customHeight="1" x14ac:dyDescent="0.25">
      <c r="A135" s="19">
        <v>134</v>
      </c>
      <c r="B135" s="19" t="s">
        <v>585</v>
      </c>
      <c r="C135" s="19" t="s">
        <v>33</v>
      </c>
      <c r="D135" s="19" t="s">
        <v>586</v>
      </c>
      <c r="E135" s="19" t="s">
        <v>24</v>
      </c>
      <c r="F135" s="20">
        <v>83</v>
      </c>
      <c r="G135" s="21">
        <v>83</v>
      </c>
      <c r="H135" s="21">
        <v>89</v>
      </c>
      <c r="I135" s="22">
        <f t="shared" si="4"/>
        <v>84</v>
      </c>
      <c r="J135" s="19" t="s">
        <v>374</v>
      </c>
    </row>
    <row r="136" spans="1:10" ht="33.950000000000003" customHeight="1" x14ac:dyDescent="0.25">
      <c r="A136" s="15">
        <v>135</v>
      </c>
      <c r="B136" s="15" t="s">
        <v>587</v>
      </c>
      <c r="C136" s="15" t="s">
        <v>120</v>
      </c>
      <c r="D136" s="15" t="s">
        <v>586</v>
      </c>
      <c r="E136" s="15" t="s">
        <v>24</v>
      </c>
      <c r="F136" s="16">
        <v>82</v>
      </c>
      <c r="G136" s="17">
        <v>82</v>
      </c>
      <c r="H136" s="17">
        <v>88</v>
      </c>
      <c r="I136" s="18">
        <f t="shared" si="4"/>
        <v>83</v>
      </c>
      <c r="J136" s="15" t="s">
        <v>374</v>
      </c>
    </row>
    <row r="137" spans="1:10" ht="33.950000000000003" customHeight="1" x14ac:dyDescent="0.25">
      <c r="A137" s="19">
        <v>136</v>
      </c>
      <c r="B137" s="19" t="s">
        <v>588</v>
      </c>
      <c r="C137" s="19" t="s">
        <v>43</v>
      </c>
      <c r="D137" s="19" t="s">
        <v>586</v>
      </c>
      <c r="E137" s="19" t="s">
        <v>24</v>
      </c>
      <c r="F137" s="20">
        <v>82</v>
      </c>
      <c r="G137" s="21">
        <v>82</v>
      </c>
      <c r="H137" s="21">
        <v>88</v>
      </c>
      <c r="I137" s="22">
        <f t="shared" si="4"/>
        <v>83</v>
      </c>
      <c r="J137" s="19" t="s">
        <v>374</v>
      </c>
    </row>
    <row r="138" spans="1:10" ht="33.950000000000003" customHeight="1" x14ac:dyDescent="0.25">
      <c r="A138" s="15">
        <v>137</v>
      </c>
      <c r="B138" s="15" t="s">
        <v>589</v>
      </c>
      <c r="C138" s="15" t="s">
        <v>43</v>
      </c>
      <c r="D138" s="15" t="s">
        <v>427</v>
      </c>
      <c r="E138" s="15" t="s">
        <v>24</v>
      </c>
      <c r="F138" s="16">
        <v>82</v>
      </c>
      <c r="G138" s="17">
        <v>82</v>
      </c>
      <c r="H138" s="17">
        <v>88</v>
      </c>
      <c r="I138" s="18">
        <f t="shared" si="4"/>
        <v>83</v>
      </c>
      <c r="J138" s="15" t="s">
        <v>374</v>
      </c>
    </row>
    <row r="139" spans="1:10" ht="33.950000000000003" customHeight="1" x14ac:dyDescent="0.25">
      <c r="A139" s="19">
        <v>138</v>
      </c>
      <c r="B139" s="19" t="s">
        <v>590</v>
      </c>
      <c r="C139" s="19" t="s">
        <v>234</v>
      </c>
      <c r="D139" s="19" t="s">
        <v>591</v>
      </c>
      <c r="E139" s="19" t="s">
        <v>24</v>
      </c>
      <c r="F139" s="20">
        <v>82</v>
      </c>
      <c r="G139" s="21">
        <v>82</v>
      </c>
      <c r="H139" s="21">
        <v>88</v>
      </c>
      <c r="I139" s="22">
        <f t="shared" si="4"/>
        <v>83</v>
      </c>
      <c r="J139" s="19" t="s">
        <v>374</v>
      </c>
    </row>
    <row r="140" spans="1:10" ht="33.950000000000003" customHeight="1" x14ac:dyDescent="0.25">
      <c r="A140" s="15">
        <v>139</v>
      </c>
      <c r="B140" s="15" t="s">
        <v>592</v>
      </c>
      <c r="C140" s="15" t="s">
        <v>35</v>
      </c>
      <c r="D140" s="15" t="s">
        <v>593</v>
      </c>
      <c r="E140" s="15" t="s">
        <v>24</v>
      </c>
      <c r="F140" s="16">
        <v>82</v>
      </c>
      <c r="G140" s="17">
        <v>82</v>
      </c>
      <c r="H140" s="17">
        <v>88</v>
      </c>
      <c r="I140" s="18">
        <f t="shared" si="4"/>
        <v>83</v>
      </c>
      <c r="J140" s="15" t="s">
        <v>374</v>
      </c>
    </row>
    <row r="141" spans="1:10" ht="33.950000000000003" customHeight="1" x14ac:dyDescent="0.25">
      <c r="A141" s="19">
        <v>140</v>
      </c>
      <c r="B141" s="19" t="s">
        <v>594</v>
      </c>
      <c r="C141" s="19" t="s">
        <v>50</v>
      </c>
      <c r="D141" s="19" t="s">
        <v>595</v>
      </c>
      <c r="E141" s="19" t="s">
        <v>24</v>
      </c>
      <c r="F141" s="20">
        <v>82</v>
      </c>
      <c r="G141" s="21">
        <v>82</v>
      </c>
      <c r="H141" s="21">
        <v>88</v>
      </c>
      <c r="I141" s="22">
        <f t="shared" si="4"/>
        <v>83</v>
      </c>
      <c r="J141" s="19" t="s">
        <v>374</v>
      </c>
    </row>
    <row r="142" spans="1:10" ht="33.950000000000003" customHeight="1" x14ac:dyDescent="0.25">
      <c r="A142" s="15">
        <v>141</v>
      </c>
      <c r="B142" s="15" t="s">
        <v>596</v>
      </c>
      <c r="C142" s="15" t="s">
        <v>597</v>
      </c>
      <c r="D142" s="15" t="s">
        <v>407</v>
      </c>
      <c r="E142" s="15" t="s">
        <v>24</v>
      </c>
      <c r="F142" s="16">
        <v>82</v>
      </c>
      <c r="G142" s="17">
        <v>82</v>
      </c>
      <c r="H142" s="17">
        <v>88</v>
      </c>
      <c r="I142" s="18">
        <f t="shared" si="4"/>
        <v>83</v>
      </c>
      <c r="J142" s="15" t="s">
        <v>374</v>
      </c>
    </row>
    <row r="143" spans="1:10" ht="33.950000000000003" customHeight="1" x14ac:dyDescent="0.25">
      <c r="A143" s="19">
        <v>142</v>
      </c>
      <c r="B143" s="19" t="s">
        <v>598</v>
      </c>
      <c r="C143" s="19" t="s">
        <v>43</v>
      </c>
      <c r="D143" s="19" t="s">
        <v>599</v>
      </c>
      <c r="E143" s="19" t="s">
        <v>24</v>
      </c>
      <c r="F143" s="20">
        <v>82</v>
      </c>
      <c r="G143" s="21">
        <v>82</v>
      </c>
      <c r="H143" s="21">
        <v>88</v>
      </c>
      <c r="I143" s="22">
        <f t="shared" si="4"/>
        <v>83</v>
      </c>
      <c r="J143" s="19" t="s">
        <v>374</v>
      </c>
    </row>
    <row r="144" spans="1:10" ht="33.950000000000003" customHeight="1" x14ac:dyDescent="0.25">
      <c r="A144" s="15">
        <v>143</v>
      </c>
      <c r="B144" s="15" t="s">
        <v>600</v>
      </c>
      <c r="C144" s="15" t="s">
        <v>33</v>
      </c>
      <c r="D144" s="15" t="s">
        <v>601</v>
      </c>
      <c r="E144" s="15" t="s">
        <v>24</v>
      </c>
      <c r="F144" s="16">
        <v>82</v>
      </c>
      <c r="G144" s="17">
        <v>82</v>
      </c>
      <c r="H144" s="17">
        <v>88</v>
      </c>
      <c r="I144" s="18">
        <f t="shared" si="4"/>
        <v>83</v>
      </c>
      <c r="J144" s="15" t="s">
        <v>374</v>
      </c>
    </row>
    <row r="145" spans="1:10" ht="33.950000000000003" customHeight="1" x14ac:dyDescent="0.25">
      <c r="A145" s="19">
        <v>144</v>
      </c>
      <c r="B145" s="19" t="s">
        <v>602</v>
      </c>
      <c r="C145" s="19" t="s">
        <v>58</v>
      </c>
      <c r="D145" s="19" t="s">
        <v>407</v>
      </c>
      <c r="E145" s="19" t="s">
        <v>24</v>
      </c>
      <c r="F145" s="20">
        <v>82</v>
      </c>
      <c r="G145" s="21">
        <v>82</v>
      </c>
      <c r="H145" s="21">
        <v>88</v>
      </c>
      <c r="I145" s="22">
        <f t="shared" si="4"/>
        <v>83</v>
      </c>
      <c r="J145" s="19" t="s">
        <v>374</v>
      </c>
    </row>
    <row r="146" spans="1:10" ht="33.950000000000003" customHeight="1" x14ac:dyDescent="0.25">
      <c r="A146" s="15">
        <v>145</v>
      </c>
      <c r="B146" s="15" t="s">
        <v>603</v>
      </c>
      <c r="C146" s="15" t="s">
        <v>50</v>
      </c>
      <c r="D146" s="15" t="s">
        <v>604</v>
      </c>
      <c r="E146" s="15" t="s">
        <v>24</v>
      </c>
      <c r="F146" s="16">
        <v>82</v>
      </c>
      <c r="G146" s="17">
        <v>82</v>
      </c>
      <c r="H146" s="17">
        <v>88</v>
      </c>
      <c r="I146" s="18">
        <f t="shared" si="4"/>
        <v>83</v>
      </c>
      <c r="J146" s="15" t="s">
        <v>374</v>
      </c>
    </row>
    <row r="147" spans="1:10" ht="33.950000000000003" customHeight="1" x14ac:dyDescent="0.25">
      <c r="A147" s="19">
        <v>146</v>
      </c>
      <c r="B147" s="19" t="s">
        <v>605</v>
      </c>
      <c r="C147" s="19" t="s">
        <v>39</v>
      </c>
      <c r="D147" s="19" t="s">
        <v>606</v>
      </c>
      <c r="E147" s="19" t="s">
        <v>24</v>
      </c>
      <c r="F147" s="20">
        <v>82</v>
      </c>
      <c r="G147" s="21">
        <v>82</v>
      </c>
      <c r="H147" s="21">
        <v>88</v>
      </c>
      <c r="I147" s="22">
        <f t="shared" si="4"/>
        <v>83</v>
      </c>
      <c r="J147" s="19" t="s">
        <v>374</v>
      </c>
    </row>
    <row r="148" spans="1:10" ht="33.950000000000003" customHeight="1" x14ac:dyDescent="0.25">
      <c r="A148" s="15">
        <v>147</v>
      </c>
      <c r="B148" s="15" t="s">
        <v>607</v>
      </c>
      <c r="C148" s="15" t="s">
        <v>43</v>
      </c>
      <c r="D148" s="15" t="s">
        <v>501</v>
      </c>
      <c r="E148" s="15" t="s">
        <v>24</v>
      </c>
      <c r="F148" s="16">
        <v>82</v>
      </c>
      <c r="G148" s="17">
        <v>82</v>
      </c>
      <c r="H148" s="17">
        <v>88</v>
      </c>
      <c r="I148" s="18">
        <f t="shared" si="4"/>
        <v>83</v>
      </c>
      <c r="J148" s="15" t="s">
        <v>374</v>
      </c>
    </row>
    <row r="149" spans="1:10" ht="33.950000000000003" customHeight="1" x14ac:dyDescent="0.25">
      <c r="A149" s="19">
        <v>148</v>
      </c>
      <c r="B149" s="19" t="s">
        <v>608</v>
      </c>
      <c r="C149" s="19" t="s">
        <v>35</v>
      </c>
      <c r="D149" s="19" t="s">
        <v>609</v>
      </c>
      <c r="E149" s="19" t="s">
        <v>24</v>
      </c>
      <c r="F149" s="20">
        <v>82</v>
      </c>
      <c r="G149" s="21">
        <v>82</v>
      </c>
      <c r="H149" s="21">
        <v>88</v>
      </c>
      <c r="I149" s="22">
        <f t="shared" si="4"/>
        <v>83</v>
      </c>
      <c r="J149" s="19" t="s">
        <v>374</v>
      </c>
    </row>
    <row r="150" spans="1:10" ht="33.950000000000003" customHeight="1" x14ac:dyDescent="0.25">
      <c r="A150" s="15">
        <v>149</v>
      </c>
      <c r="B150" s="15" t="s">
        <v>610</v>
      </c>
      <c r="C150" s="15" t="s">
        <v>33</v>
      </c>
      <c r="D150" s="15" t="s">
        <v>611</v>
      </c>
      <c r="E150" s="15" t="s">
        <v>24</v>
      </c>
      <c r="F150" s="16">
        <v>82</v>
      </c>
      <c r="G150" s="17">
        <v>82</v>
      </c>
      <c r="H150" s="17">
        <v>88</v>
      </c>
      <c r="I150" s="18">
        <f t="shared" si="4"/>
        <v>83</v>
      </c>
      <c r="J150" s="15" t="s">
        <v>374</v>
      </c>
    </row>
    <row r="151" spans="1:10" ht="33.950000000000003" customHeight="1" x14ac:dyDescent="0.25">
      <c r="A151" s="19">
        <v>150</v>
      </c>
      <c r="B151" s="19" t="s">
        <v>612</v>
      </c>
      <c r="C151" s="19" t="s">
        <v>136</v>
      </c>
      <c r="D151" s="19" t="s">
        <v>613</v>
      </c>
      <c r="E151" s="19" t="s">
        <v>24</v>
      </c>
      <c r="F151" s="20">
        <v>82</v>
      </c>
      <c r="G151" s="21">
        <v>82</v>
      </c>
      <c r="H151" s="21">
        <v>88</v>
      </c>
      <c r="I151" s="22">
        <f t="shared" si="4"/>
        <v>83</v>
      </c>
      <c r="J151" s="19" t="s">
        <v>374</v>
      </c>
    </row>
    <row r="152" spans="1:10" ht="33.950000000000003" customHeight="1" x14ac:dyDescent="0.25">
      <c r="A152" s="15">
        <v>151</v>
      </c>
      <c r="B152" s="15" t="s">
        <v>614</v>
      </c>
      <c r="C152" s="15" t="s">
        <v>53</v>
      </c>
      <c r="D152" s="15" t="s">
        <v>379</v>
      </c>
      <c r="E152" s="15" t="s">
        <v>24</v>
      </c>
      <c r="F152" s="16">
        <v>81</v>
      </c>
      <c r="G152" s="17">
        <v>81</v>
      </c>
      <c r="H152" s="17">
        <v>87</v>
      </c>
      <c r="I152" s="18">
        <f t="shared" si="4"/>
        <v>82</v>
      </c>
      <c r="J152" s="15" t="s">
        <v>374</v>
      </c>
    </row>
    <row r="153" spans="1:10" ht="33.950000000000003" customHeight="1" x14ac:dyDescent="0.25">
      <c r="A153" s="19">
        <v>152</v>
      </c>
      <c r="B153" s="19" t="s">
        <v>615</v>
      </c>
      <c r="C153" s="19" t="s">
        <v>50</v>
      </c>
      <c r="D153" s="19" t="s">
        <v>379</v>
      </c>
      <c r="E153" s="19" t="s">
        <v>24</v>
      </c>
      <c r="F153" s="20">
        <v>81</v>
      </c>
      <c r="G153" s="21">
        <v>81</v>
      </c>
      <c r="H153" s="21">
        <v>87</v>
      </c>
      <c r="I153" s="22">
        <f t="shared" si="4"/>
        <v>82</v>
      </c>
      <c r="J153" s="19" t="s">
        <v>374</v>
      </c>
    </row>
    <row r="154" spans="1:10" ht="33.950000000000003" customHeight="1" x14ac:dyDescent="0.25">
      <c r="A154" s="15">
        <v>153</v>
      </c>
      <c r="B154" s="15" t="s">
        <v>616</v>
      </c>
      <c r="C154" s="15" t="s">
        <v>53</v>
      </c>
      <c r="D154" s="15" t="s">
        <v>617</v>
      </c>
      <c r="E154" s="15" t="s">
        <v>24</v>
      </c>
      <c r="F154" s="16">
        <v>81</v>
      </c>
      <c r="G154" s="17">
        <v>81</v>
      </c>
      <c r="H154" s="17">
        <v>87</v>
      </c>
      <c r="I154" s="18">
        <f t="shared" si="4"/>
        <v>82</v>
      </c>
      <c r="J154" s="15" t="s">
        <v>374</v>
      </c>
    </row>
    <row r="155" spans="1:10" ht="33.950000000000003" customHeight="1" x14ac:dyDescent="0.25">
      <c r="A155" s="19">
        <v>154</v>
      </c>
      <c r="B155" s="19" t="s">
        <v>618</v>
      </c>
      <c r="C155" s="19" t="s">
        <v>39</v>
      </c>
      <c r="D155" s="19" t="s">
        <v>619</v>
      </c>
      <c r="E155" s="19" t="s">
        <v>24</v>
      </c>
      <c r="F155" s="20">
        <v>81</v>
      </c>
      <c r="G155" s="21">
        <v>81</v>
      </c>
      <c r="H155" s="21">
        <v>87</v>
      </c>
      <c r="I155" s="22">
        <f t="shared" si="4"/>
        <v>82</v>
      </c>
      <c r="J155" s="19" t="s">
        <v>374</v>
      </c>
    </row>
    <row r="156" spans="1:10" ht="33.950000000000003" customHeight="1" x14ac:dyDescent="0.25">
      <c r="A156" s="15">
        <v>155</v>
      </c>
      <c r="B156" s="15" t="s">
        <v>620</v>
      </c>
      <c r="C156" s="15" t="s">
        <v>43</v>
      </c>
      <c r="D156" s="15" t="s">
        <v>379</v>
      </c>
      <c r="E156" s="15" t="s">
        <v>24</v>
      </c>
      <c r="F156" s="16">
        <v>81</v>
      </c>
      <c r="G156" s="17">
        <v>81</v>
      </c>
      <c r="H156" s="17">
        <v>87</v>
      </c>
      <c r="I156" s="18">
        <f t="shared" si="4"/>
        <v>82</v>
      </c>
      <c r="J156" s="15" t="s">
        <v>374</v>
      </c>
    </row>
    <row r="157" spans="1:10" ht="33.950000000000003" customHeight="1" x14ac:dyDescent="0.25">
      <c r="A157" s="19">
        <v>156</v>
      </c>
      <c r="B157" s="19" t="s">
        <v>621</v>
      </c>
      <c r="C157" s="19" t="s">
        <v>378</v>
      </c>
      <c r="D157" s="19" t="s">
        <v>622</v>
      </c>
      <c r="E157" s="19" t="s">
        <v>24</v>
      </c>
      <c r="F157" s="20">
        <v>81</v>
      </c>
      <c r="G157" s="21">
        <v>81</v>
      </c>
      <c r="H157" s="21">
        <v>87</v>
      </c>
      <c r="I157" s="22">
        <f t="shared" si="4"/>
        <v>82</v>
      </c>
      <c r="J157" s="19" t="s">
        <v>374</v>
      </c>
    </row>
    <row r="158" spans="1:10" ht="33.950000000000003" customHeight="1" x14ac:dyDescent="0.25">
      <c r="A158" s="15">
        <v>157</v>
      </c>
      <c r="B158" s="15" t="s">
        <v>623</v>
      </c>
      <c r="C158" s="15" t="s">
        <v>53</v>
      </c>
      <c r="D158" s="15" t="s">
        <v>624</v>
      </c>
      <c r="E158" s="15" t="s">
        <v>24</v>
      </c>
      <c r="F158" s="16">
        <v>81</v>
      </c>
      <c r="G158" s="17">
        <v>81</v>
      </c>
      <c r="H158" s="17">
        <v>87</v>
      </c>
      <c r="I158" s="18">
        <f t="shared" si="4"/>
        <v>82</v>
      </c>
      <c r="J158" s="15" t="s">
        <v>374</v>
      </c>
    </row>
    <row r="159" spans="1:10" ht="33.950000000000003" customHeight="1" x14ac:dyDescent="0.25">
      <c r="A159" s="19">
        <v>158</v>
      </c>
      <c r="B159" s="19" t="s">
        <v>625</v>
      </c>
      <c r="C159" s="19" t="s">
        <v>33</v>
      </c>
      <c r="D159" s="19" t="s">
        <v>626</v>
      </c>
      <c r="E159" s="19" t="s">
        <v>24</v>
      </c>
      <c r="F159" s="20">
        <v>81</v>
      </c>
      <c r="G159" s="21">
        <v>81</v>
      </c>
      <c r="H159" s="21">
        <v>87</v>
      </c>
      <c r="I159" s="22">
        <f t="shared" si="4"/>
        <v>82</v>
      </c>
      <c r="J159" s="19" t="s">
        <v>374</v>
      </c>
    </row>
    <row r="160" spans="1:10" ht="33.950000000000003" customHeight="1" x14ac:dyDescent="0.25">
      <c r="A160" s="15">
        <v>159</v>
      </c>
      <c r="B160" s="15" t="s">
        <v>627</v>
      </c>
      <c r="C160" s="15" t="s">
        <v>43</v>
      </c>
      <c r="D160" s="15" t="s">
        <v>628</v>
      </c>
      <c r="E160" s="15" t="s">
        <v>24</v>
      </c>
      <c r="F160" s="16">
        <v>81</v>
      </c>
      <c r="G160" s="17">
        <v>81</v>
      </c>
      <c r="H160" s="17">
        <v>87</v>
      </c>
      <c r="I160" s="18">
        <f t="shared" si="4"/>
        <v>82</v>
      </c>
      <c r="J160" s="15" t="s">
        <v>374</v>
      </c>
    </row>
    <row r="161" spans="1:10" ht="33.950000000000003" customHeight="1" x14ac:dyDescent="0.25">
      <c r="A161" s="19">
        <v>160</v>
      </c>
      <c r="B161" s="19" t="s">
        <v>629</v>
      </c>
      <c r="C161" s="19" t="s">
        <v>33</v>
      </c>
      <c r="D161" s="19" t="s">
        <v>630</v>
      </c>
      <c r="E161" s="19" t="s">
        <v>24</v>
      </c>
      <c r="F161" s="20">
        <v>81</v>
      </c>
      <c r="G161" s="21">
        <v>81</v>
      </c>
      <c r="H161" s="21">
        <v>87</v>
      </c>
      <c r="I161" s="22">
        <f t="shared" si="4"/>
        <v>82</v>
      </c>
      <c r="J161" s="19" t="s">
        <v>374</v>
      </c>
    </row>
    <row r="162" spans="1:10" ht="33.950000000000003" customHeight="1" x14ac:dyDescent="0.25">
      <c r="A162" s="15">
        <v>161</v>
      </c>
      <c r="B162" s="15" t="s">
        <v>631</v>
      </c>
      <c r="C162" s="15" t="s">
        <v>43</v>
      </c>
      <c r="D162" s="15" t="s">
        <v>632</v>
      </c>
      <c r="E162" s="15" t="s">
        <v>24</v>
      </c>
      <c r="F162" s="16">
        <v>81</v>
      </c>
      <c r="G162" s="17">
        <v>81</v>
      </c>
      <c r="H162" s="17">
        <v>87</v>
      </c>
      <c r="I162" s="18">
        <f t="shared" ref="I162:I193" si="5">ROUND(F162*0.55+G162*0.3+H162*0.15,0)</f>
        <v>82</v>
      </c>
      <c r="J162" s="15" t="s">
        <v>374</v>
      </c>
    </row>
    <row r="163" spans="1:10" ht="33.950000000000003" customHeight="1" x14ac:dyDescent="0.25">
      <c r="A163" s="19">
        <v>162</v>
      </c>
      <c r="B163" s="19" t="s">
        <v>633</v>
      </c>
      <c r="C163" s="19" t="s">
        <v>37</v>
      </c>
      <c r="D163" s="19" t="s">
        <v>634</v>
      </c>
      <c r="E163" s="19" t="s">
        <v>24</v>
      </c>
      <c r="F163" s="20">
        <v>81</v>
      </c>
      <c r="G163" s="21">
        <v>81</v>
      </c>
      <c r="H163" s="21">
        <v>87</v>
      </c>
      <c r="I163" s="22">
        <f t="shared" si="5"/>
        <v>82</v>
      </c>
      <c r="J163" s="19" t="s">
        <v>374</v>
      </c>
    </row>
    <row r="164" spans="1:10" ht="33.950000000000003" customHeight="1" x14ac:dyDescent="0.25">
      <c r="A164" s="15">
        <v>163</v>
      </c>
      <c r="B164" s="15" t="s">
        <v>635</v>
      </c>
      <c r="C164" s="15" t="s">
        <v>33</v>
      </c>
      <c r="D164" s="15" t="s">
        <v>634</v>
      </c>
      <c r="E164" s="15" t="s">
        <v>24</v>
      </c>
      <c r="F164" s="16">
        <v>81</v>
      </c>
      <c r="G164" s="17">
        <v>81</v>
      </c>
      <c r="H164" s="17">
        <v>87</v>
      </c>
      <c r="I164" s="18">
        <f t="shared" si="5"/>
        <v>82</v>
      </c>
      <c r="J164" s="15" t="s">
        <v>374</v>
      </c>
    </row>
    <row r="165" spans="1:10" ht="33.950000000000003" customHeight="1" x14ac:dyDescent="0.25">
      <c r="A165" s="19">
        <v>164</v>
      </c>
      <c r="B165" s="19" t="s">
        <v>636</v>
      </c>
      <c r="C165" s="19" t="s">
        <v>43</v>
      </c>
      <c r="D165" s="19" t="s">
        <v>637</v>
      </c>
      <c r="E165" s="19" t="s">
        <v>24</v>
      </c>
      <c r="F165" s="20">
        <v>81</v>
      </c>
      <c r="G165" s="21">
        <v>81</v>
      </c>
      <c r="H165" s="21">
        <v>87</v>
      </c>
      <c r="I165" s="22">
        <f t="shared" si="5"/>
        <v>82</v>
      </c>
      <c r="J165" s="19" t="s">
        <v>374</v>
      </c>
    </row>
    <row r="166" spans="1:10" ht="33.950000000000003" customHeight="1" x14ac:dyDescent="0.25">
      <c r="A166" s="15">
        <v>165</v>
      </c>
      <c r="B166" s="15" t="s">
        <v>638</v>
      </c>
      <c r="C166" s="15" t="s">
        <v>43</v>
      </c>
      <c r="D166" s="15" t="s">
        <v>639</v>
      </c>
      <c r="E166" s="15" t="s">
        <v>24</v>
      </c>
      <c r="F166" s="16">
        <v>81</v>
      </c>
      <c r="G166" s="17">
        <v>81</v>
      </c>
      <c r="H166" s="17">
        <v>87</v>
      </c>
      <c r="I166" s="18">
        <f t="shared" si="5"/>
        <v>82</v>
      </c>
      <c r="J166" s="15" t="s">
        <v>374</v>
      </c>
    </row>
    <row r="167" spans="1:10" ht="33.950000000000003" customHeight="1" x14ac:dyDescent="0.25">
      <c r="A167" s="19">
        <v>166</v>
      </c>
      <c r="B167" s="19" t="s">
        <v>640</v>
      </c>
      <c r="C167" s="19" t="s">
        <v>136</v>
      </c>
      <c r="D167" s="19" t="s">
        <v>641</v>
      </c>
      <c r="E167" s="19" t="s">
        <v>24</v>
      </c>
      <c r="F167" s="20">
        <v>81</v>
      </c>
      <c r="G167" s="21">
        <v>81</v>
      </c>
      <c r="H167" s="21">
        <v>87</v>
      </c>
      <c r="I167" s="22">
        <f t="shared" si="5"/>
        <v>82</v>
      </c>
      <c r="J167" s="19" t="s">
        <v>374</v>
      </c>
    </row>
    <row r="168" spans="1:10" ht="33.950000000000003" customHeight="1" x14ac:dyDescent="0.25">
      <c r="A168" s="15">
        <v>167</v>
      </c>
      <c r="B168" s="15" t="s">
        <v>642</v>
      </c>
      <c r="C168" s="15" t="s">
        <v>120</v>
      </c>
      <c r="D168" s="15" t="s">
        <v>643</v>
      </c>
      <c r="E168" s="15" t="s">
        <v>24</v>
      </c>
      <c r="F168" s="16">
        <v>81</v>
      </c>
      <c r="G168" s="17">
        <v>81</v>
      </c>
      <c r="H168" s="17">
        <v>87</v>
      </c>
      <c r="I168" s="18">
        <f t="shared" si="5"/>
        <v>82</v>
      </c>
      <c r="J168" s="15" t="s">
        <v>374</v>
      </c>
    </row>
    <row r="169" spans="1:10" ht="33.950000000000003" customHeight="1" x14ac:dyDescent="0.25">
      <c r="A169" s="19">
        <v>168</v>
      </c>
      <c r="B169" s="19" t="s">
        <v>644</v>
      </c>
      <c r="C169" s="19" t="s">
        <v>43</v>
      </c>
      <c r="D169" s="19" t="s">
        <v>645</v>
      </c>
      <c r="E169" s="19" t="s">
        <v>24</v>
      </c>
      <c r="F169" s="20">
        <v>81</v>
      </c>
      <c r="G169" s="21">
        <v>81</v>
      </c>
      <c r="H169" s="21">
        <v>87</v>
      </c>
      <c r="I169" s="22">
        <f t="shared" si="5"/>
        <v>82</v>
      </c>
      <c r="J169" s="19" t="s">
        <v>374</v>
      </c>
    </row>
    <row r="170" spans="1:10" ht="33.950000000000003" customHeight="1" x14ac:dyDescent="0.25">
      <c r="A170" s="15">
        <v>169</v>
      </c>
      <c r="B170" s="15" t="s">
        <v>646</v>
      </c>
      <c r="C170" s="15" t="s">
        <v>43</v>
      </c>
      <c r="D170" s="15" t="s">
        <v>647</v>
      </c>
      <c r="E170" s="15" t="s">
        <v>24</v>
      </c>
      <c r="F170" s="16">
        <v>81</v>
      </c>
      <c r="G170" s="17">
        <v>81</v>
      </c>
      <c r="H170" s="17">
        <v>87</v>
      </c>
      <c r="I170" s="18">
        <f t="shared" si="5"/>
        <v>82</v>
      </c>
      <c r="J170" s="15" t="s">
        <v>374</v>
      </c>
    </row>
    <row r="171" spans="1:10" ht="33.950000000000003" customHeight="1" x14ac:dyDescent="0.25">
      <c r="A171" s="19">
        <v>170</v>
      </c>
      <c r="B171" s="19" t="s">
        <v>648</v>
      </c>
      <c r="C171" s="19" t="s">
        <v>43</v>
      </c>
      <c r="D171" s="19" t="s">
        <v>416</v>
      </c>
      <c r="E171" s="19" t="s">
        <v>24</v>
      </c>
      <c r="F171" s="20">
        <v>81</v>
      </c>
      <c r="G171" s="21">
        <v>81</v>
      </c>
      <c r="H171" s="21">
        <v>87</v>
      </c>
      <c r="I171" s="22">
        <f t="shared" si="5"/>
        <v>82</v>
      </c>
      <c r="J171" s="19" t="s">
        <v>374</v>
      </c>
    </row>
    <row r="172" spans="1:10" ht="33.950000000000003" customHeight="1" x14ac:dyDescent="0.25">
      <c r="A172" s="15">
        <v>171</v>
      </c>
      <c r="B172" s="15" t="s">
        <v>649</v>
      </c>
      <c r="C172" s="15" t="s">
        <v>58</v>
      </c>
      <c r="D172" s="15" t="s">
        <v>650</v>
      </c>
      <c r="E172" s="15" t="s">
        <v>24</v>
      </c>
      <c r="F172" s="16">
        <v>80</v>
      </c>
      <c r="G172" s="17">
        <v>80</v>
      </c>
      <c r="H172" s="17">
        <v>86</v>
      </c>
      <c r="I172" s="18">
        <f t="shared" si="5"/>
        <v>81</v>
      </c>
      <c r="J172" s="15" t="s">
        <v>374</v>
      </c>
    </row>
    <row r="173" spans="1:10" ht="33.950000000000003" customHeight="1" x14ac:dyDescent="0.25">
      <c r="A173" s="19">
        <v>172</v>
      </c>
      <c r="B173" s="19" t="s">
        <v>651</v>
      </c>
      <c r="C173" s="19" t="s">
        <v>61</v>
      </c>
      <c r="D173" s="19" t="s">
        <v>376</v>
      </c>
      <c r="E173" s="19" t="s">
        <v>24</v>
      </c>
      <c r="F173" s="20">
        <v>80</v>
      </c>
      <c r="G173" s="21">
        <v>80</v>
      </c>
      <c r="H173" s="21">
        <v>86</v>
      </c>
      <c r="I173" s="22">
        <f t="shared" si="5"/>
        <v>81</v>
      </c>
      <c r="J173" s="19" t="s">
        <v>374</v>
      </c>
    </row>
    <row r="174" spans="1:10" ht="33.950000000000003" customHeight="1" x14ac:dyDescent="0.25">
      <c r="A174" s="15">
        <v>173</v>
      </c>
      <c r="B174" s="15" t="s">
        <v>652</v>
      </c>
      <c r="C174" s="15" t="s">
        <v>89</v>
      </c>
      <c r="D174" s="15" t="s">
        <v>376</v>
      </c>
      <c r="E174" s="15" t="s">
        <v>24</v>
      </c>
      <c r="F174" s="16">
        <v>80</v>
      </c>
      <c r="G174" s="17">
        <v>80</v>
      </c>
      <c r="H174" s="17">
        <v>86</v>
      </c>
      <c r="I174" s="18">
        <f t="shared" si="5"/>
        <v>81</v>
      </c>
      <c r="J174" s="15" t="s">
        <v>374</v>
      </c>
    </row>
    <row r="175" spans="1:10" ht="33.950000000000003" customHeight="1" x14ac:dyDescent="0.25">
      <c r="A175" s="19">
        <v>174</v>
      </c>
      <c r="B175" s="19" t="s">
        <v>653</v>
      </c>
      <c r="C175" s="19" t="s">
        <v>53</v>
      </c>
      <c r="D175" s="19" t="s">
        <v>376</v>
      </c>
      <c r="E175" s="19" t="s">
        <v>24</v>
      </c>
      <c r="F175" s="20">
        <v>80</v>
      </c>
      <c r="G175" s="21">
        <v>80</v>
      </c>
      <c r="H175" s="21">
        <v>86</v>
      </c>
      <c r="I175" s="22">
        <f t="shared" si="5"/>
        <v>81</v>
      </c>
      <c r="J175" s="19" t="s">
        <v>374</v>
      </c>
    </row>
    <row r="176" spans="1:10" ht="33.950000000000003" customHeight="1" x14ac:dyDescent="0.25">
      <c r="A176" s="15">
        <v>175</v>
      </c>
      <c r="B176" s="15" t="s">
        <v>654</v>
      </c>
      <c r="C176" s="15" t="s">
        <v>655</v>
      </c>
      <c r="D176" s="15" t="s">
        <v>656</v>
      </c>
      <c r="E176" s="15" t="s">
        <v>24</v>
      </c>
      <c r="F176" s="16">
        <v>80</v>
      </c>
      <c r="G176" s="17">
        <v>80</v>
      </c>
      <c r="H176" s="17">
        <v>86</v>
      </c>
      <c r="I176" s="18">
        <f t="shared" si="5"/>
        <v>81</v>
      </c>
      <c r="J176" s="15" t="s">
        <v>374</v>
      </c>
    </row>
    <row r="177" spans="1:10" ht="33.950000000000003" customHeight="1" x14ac:dyDescent="0.25">
      <c r="A177" s="19">
        <v>176</v>
      </c>
      <c r="B177" s="19" t="s">
        <v>657</v>
      </c>
      <c r="C177" s="19" t="s">
        <v>50</v>
      </c>
      <c r="D177" s="19" t="s">
        <v>658</v>
      </c>
      <c r="E177" s="19" t="s">
        <v>24</v>
      </c>
      <c r="F177" s="20">
        <v>80</v>
      </c>
      <c r="G177" s="21">
        <v>80</v>
      </c>
      <c r="H177" s="21">
        <v>86</v>
      </c>
      <c r="I177" s="22">
        <f t="shared" si="5"/>
        <v>81</v>
      </c>
      <c r="J177" s="19" t="s">
        <v>374</v>
      </c>
    </row>
    <row r="178" spans="1:10" ht="33.950000000000003" customHeight="1" x14ac:dyDescent="0.25">
      <c r="A178" s="15">
        <v>177</v>
      </c>
      <c r="B178" s="15" t="s">
        <v>659</v>
      </c>
      <c r="C178" s="15" t="s">
        <v>53</v>
      </c>
      <c r="D178" s="15" t="s">
        <v>660</v>
      </c>
      <c r="E178" s="15" t="s">
        <v>24</v>
      </c>
      <c r="F178" s="16">
        <v>80</v>
      </c>
      <c r="G178" s="17">
        <v>80</v>
      </c>
      <c r="H178" s="17">
        <v>86</v>
      </c>
      <c r="I178" s="18">
        <f t="shared" si="5"/>
        <v>81</v>
      </c>
      <c r="J178" s="15" t="s">
        <v>374</v>
      </c>
    </row>
    <row r="179" spans="1:10" ht="33.950000000000003" customHeight="1" x14ac:dyDescent="0.25">
      <c r="A179" s="19">
        <v>178</v>
      </c>
      <c r="B179" s="19" t="s">
        <v>661</v>
      </c>
      <c r="C179" s="19" t="s">
        <v>50</v>
      </c>
      <c r="D179" s="19" t="s">
        <v>662</v>
      </c>
      <c r="E179" s="19" t="s">
        <v>24</v>
      </c>
      <c r="F179" s="20">
        <v>80</v>
      </c>
      <c r="G179" s="21">
        <v>80</v>
      </c>
      <c r="H179" s="21">
        <v>86</v>
      </c>
      <c r="I179" s="22">
        <f t="shared" si="5"/>
        <v>81</v>
      </c>
      <c r="J179" s="19" t="s">
        <v>374</v>
      </c>
    </row>
    <row r="180" spans="1:10" ht="33.950000000000003" customHeight="1" x14ac:dyDescent="0.25">
      <c r="A180" s="15">
        <v>179</v>
      </c>
      <c r="B180" s="15" t="s">
        <v>663</v>
      </c>
      <c r="C180" s="15" t="s">
        <v>664</v>
      </c>
      <c r="D180" s="15" t="s">
        <v>665</v>
      </c>
      <c r="E180" s="15" t="s">
        <v>24</v>
      </c>
      <c r="F180" s="16">
        <v>80</v>
      </c>
      <c r="G180" s="17">
        <v>80</v>
      </c>
      <c r="H180" s="17">
        <v>86</v>
      </c>
      <c r="I180" s="18">
        <f t="shared" si="5"/>
        <v>81</v>
      </c>
      <c r="J180" s="15" t="s">
        <v>374</v>
      </c>
    </row>
    <row r="181" spans="1:10" ht="33.950000000000003" customHeight="1" x14ac:dyDescent="0.25">
      <c r="A181" s="19">
        <v>180</v>
      </c>
      <c r="B181" s="19" t="s">
        <v>361</v>
      </c>
      <c r="C181" s="19" t="s">
        <v>362</v>
      </c>
      <c r="D181" s="19" t="s">
        <v>666</v>
      </c>
      <c r="E181" s="19" t="s">
        <v>24</v>
      </c>
      <c r="F181" s="20">
        <v>80</v>
      </c>
      <c r="G181" s="21">
        <v>80</v>
      </c>
      <c r="H181" s="21">
        <v>86</v>
      </c>
      <c r="I181" s="22">
        <f t="shared" si="5"/>
        <v>81</v>
      </c>
      <c r="J181" s="19" t="s">
        <v>374</v>
      </c>
    </row>
    <row r="182" spans="1:10" ht="33.950000000000003" customHeight="1" x14ac:dyDescent="0.25">
      <c r="A182" s="15">
        <v>181</v>
      </c>
      <c r="B182" s="15" t="s">
        <v>667</v>
      </c>
      <c r="C182" s="15" t="s">
        <v>328</v>
      </c>
      <c r="D182" s="15" t="s">
        <v>373</v>
      </c>
      <c r="E182" s="15" t="s">
        <v>24</v>
      </c>
      <c r="F182" s="16">
        <v>80</v>
      </c>
      <c r="G182" s="17">
        <v>80</v>
      </c>
      <c r="H182" s="17">
        <v>86</v>
      </c>
      <c r="I182" s="18">
        <f t="shared" si="5"/>
        <v>81</v>
      </c>
      <c r="J182" s="15" t="s">
        <v>374</v>
      </c>
    </row>
    <row r="183" spans="1:10" ht="33.950000000000003" customHeight="1" x14ac:dyDescent="0.25">
      <c r="A183" s="19">
        <v>182</v>
      </c>
      <c r="B183" s="19" t="s">
        <v>668</v>
      </c>
      <c r="C183" s="19" t="s">
        <v>43</v>
      </c>
      <c r="D183" s="19" t="s">
        <v>669</v>
      </c>
      <c r="E183" s="19" t="s">
        <v>24</v>
      </c>
      <c r="F183" s="20">
        <v>80</v>
      </c>
      <c r="G183" s="21">
        <v>80</v>
      </c>
      <c r="H183" s="21">
        <v>86</v>
      </c>
      <c r="I183" s="22">
        <f t="shared" si="5"/>
        <v>81</v>
      </c>
      <c r="J183" s="19" t="s">
        <v>374</v>
      </c>
    </row>
    <row r="184" spans="1:10" ht="33.950000000000003" customHeight="1" x14ac:dyDescent="0.25">
      <c r="A184" s="15">
        <v>183</v>
      </c>
      <c r="B184" s="15" t="s">
        <v>670</v>
      </c>
      <c r="C184" s="15" t="s">
        <v>337</v>
      </c>
      <c r="D184" s="15" t="s">
        <v>671</v>
      </c>
      <c r="E184" s="15" t="s">
        <v>24</v>
      </c>
      <c r="F184" s="16">
        <v>80</v>
      </c>
      <c r="G184" s="17">
        <v>80</v>
      </c>
      <c r="H184" s="17">
        <v>86</v>
      </c>
      <c r="I184" s="18">
        <f t="shared" si="5"/>
        <v>81</v>
      </c>
      <c r="J184" s="15" t="s">
        <v>374</v>
      </c>
    </row>
    <row r="185" spans="1:10" ht="33.950000000000003" customHeight="1" x14ac:dyDescent="0.25">
      <c r="A185" s="19">
        <v>184</v>
      </c>
      <c r="B185" s="19" t="s">
        <v>672</v>
      </c>
      <c r="C185" s="19" t="s">
        <v>33</v>
      </c>
      <c r="D185" s="19" t="s">
        <v>673</v>
      </c>
      <c r="E185" s="19" t="s">
        <v>24</v>
      </c>
      <c r="F185" s="20">
        <v>80</v>
      </c>
      <c r="G185" s="21">
        <v>80</v>
      </c>
      <c r="H185" s="21">
        <v>86</v>
      </c>
      <c r="I185" s="22">
        <f t="shared" si="5"/>
        <v>81</v>
      </c>
      <c r="J185" s="19" t="s">
        <v>374</v>
      </c>
    </row>
    <row r="186" spans="1:10" ht="33.950000000000003" customHeight="1" x14ac:dyDescent="0.25">
      <c r="A186" s="15">
        <v>185</v>
      </c>
      <c r="B186" s="15" t="s">
        <v>674</v>
      </c>
      <c r="C186" s="15" t="s">
        <v>328</v>
      </c>
      <c r="D186" s="15" t="s">
        <v>675</v>
      </c>
      <c r="E186" s="15" t="s">
        <v>24</v>
      </c>
      <c r="F186" s="16">
        <v>80</v>
      </c>
      <c r="G186" s="17">
        <v>80</v>
      </c>
      <c r="H186" s="17">
        <v>86</v>
      </c>
      <c r="I186" s="18">
        <f t="shared" si="5"/>
        <v>81</v>
      </c>
      <c r="J186" s="15" t="s">
        <v>374</v>
      </c>
    </row>
    <row r="187" spans="1:10" ht="33.950000000000003" customHeight="1" x14ac:dyDescent="0.25">
      <c r="A187" s="19">
        <v>186</v>
      </c>
      <c r="B187" s="19" t="s">
        <v>676</v>
      </c>
      <c r="C187" s="19" t="s">
        <v>89</v>
      </c>
      <c r="D187" s="19" t="s">
        <v>677</v>
      </c>
      <c r="E187" s="19" t="s">
        <v>24</v>
      </c>
      <c r="F187" s="20">
        <v>80</v>
      </c>
      <c r="G187" s="21">
        <v>80</v>
      </c>
      <c r="H187" s="21">
        <v>86</v>
      </c>
      <c r="I187" s="22">
        <f t="shared" si="5"/>
        <v>81</v>
      </c>
      <c r="J187" s="19" t="s">
        <v>374</v>
      </c>
    </row>
    <row r="188" spans="1:10" ht="33.950000000000003" customHeight="1" x14ac:dyDescent="0.25">
      <c r="A188" s="15">
        <v>187</v>
      </c>
      <c r="B188" s="15" t="s">
        <v>678</v>
      </c>
      <c r="C188" s="15" t="s">
        <v>257</v>
      </c>
      <c r="D188" s="15" t="s">
        <v>679</v>
      </c>
      <c r="E188" s="15" t="s">
        <v>24</v>
      </c>
      <c r="F188" s="16">
        <v>80</v>
      </c>
      <c r="G188" s="17">
        <v>80</v>
      </c>
      <c r="H188" s="17">
        <v>86</v>
      </c>
      <c r="I188" s="18">
        <f t="shared" si="5"/>
        <v>81</v>
      </c>
      <c r="J188" s="15" t="s">
        <v>374</v>
      </c>
    </row>
    <row r="189" spans="1:10" ht="33.950000000000003" customHeight="1" x14ac:dyDescent="0.25">
      <c r="A189" s="19">
        <v>188</v>
      </c>
      <c r="B189" s="19" t="s">
        <v>680</v>
      </c>
      <c r="C189" s="19" t="s">
        <v>43</v>
      </c>
      <c r="D189" s="19" t="s">
        <v>681</v>
      </c>
      <c r="E189" s="19" t="s">
        <v>24</v>
      </c>
      <c r="F189" s="20">
        <v>80</v>
      </c>
      <c r="G189" s="21">
        <v>80</v>
      </c>
      <c r="H189" s="21">
        <v>86</v>
      </c>
      <c r="I189" s="22">
        <f t="shared" si="5"/>
        <v>81</v>
      </c>
      <c r="J189" s="19" t="s">
        <v>374</v>
      </c>
    </row>
    <row r="190" spans="1:10" ht="33.950000000000003" customHeight="1" x14ac:dyDescent="0.25">
      <c r="A190" s="15">
        <v>189</v>
      </c>
      <c r="B190" s="15" t="s">
        <v>682</v>
      </c>
      <c r="C190" s="15" t="s">
        <v>43</v>
      </c>
      <c r="D190" s="15" t="s">
        <v>683</v>
      </c>
      <c r="E190" s="15" t="s">
        <v>24</v>
      </c>
      <c r="F190" s="16">
        <v>80</v>
      </c>
      <c r="G190" s="17">
        <v>80</v>
      </c>
      <c r="H190" s="17">
        <v>86</v>
      </c>
      <c r="I190" s="18">
        <f t="shared" si="5"/>
        <v>81</v>
      </c>
      <c r="J190" s="15" t="s">
        <v>374</v>
      </c>
    </row>
    <row r="191" spans="1:10" ht="33.950000000000003" customHeight="1" x14ac:dyDescent="0.25">
      <c r="A191" s="19">
        <v>190</v>
      </c>
      <c r="B191" s="19" t="s">
        <v>684</v>
      </c>
      <c r="C191" s="19" t="s">
        <v>557</v>
      </c>
      <c r="D191" s="19" t="s">
        <v>685</v>
      </c>
      <c r="E191" s="19" t="s">
        <v>24</v>
      </c>
      <c r="F191" s="20">
        <v>80</v>
      </c>
      <c r="G191" s="21">
        <v>80</v>
      </c>
      <c r="H191" s="21">
        <v>86</v>
      </c>
      <c r="I191" s="22">
        <f t="shared" si="5"/>
        <v>81</v>
      </c>
      <c r="J191" s="19" t="s">
        <v>374</v>
      </c>
    </row>
    <row r="192" spans="1:10" ht="33.950000000000003" customHeight="1" x14ac:dyDescent="0.25">
      <c r="A192" s="15">
        <v>191</v>
      </c>
      <c r="B192" s="15" t="s">
        <v>686</v>
      </c>
      <c r="C192" s="15" t="s">
        <v>241</v>
      </c>
      <c r="D192" s="15" t="s">
        <v>425</v>
      </c>
      <c r="E192" s="15" t="s">
        <v>24</v>
      </c>
      <c r="F192" s="16">
        <v>79</v>
      </c>
      <c r="G192" s="17">
        <v>79</v>
      </c>
      <c r="H192" s="17">
        <v>85</v>
      </c>
      <c r="I192" s="18">
        <f t="shared" si="5"/>
        <v>80</v>
      </c>
      <c r="J192" s="15" t="s">
        <v>374</v>
      </c>
    </row>
    <row r="193" spans="1:10" ht="33.950000000000003" customHeight="1" x14ac:dyDescent="0.25">
      <c r="A193" s="19">
        <v>192</v>
      </c>
      <c r="B193" s="19" t="s">
        <v>687</v>
      </c>
      <c r="C193" s="19" t="s">
        <v>115</v>
      </c>
      <c r="D193" s="19" t="s">
        <v>688</v>
      </c>
      <c r="E193" s="19" t="s">
        <v>24</v>
      </c>
      <c r="F193" s="20">
        <v>79</v>
      </c>
      <c r="G193" s="21">
        <v>79</v>
      </c>
      <c r="H193" s="21">
        <v>85</v>
      </c>
      <c r="I193" s="22">
        <f t="shared" si="5"/>
        <v>80</v>
      </c>
      <c r="J193" s="19" t="s">
        <v>374</v>
      </c>
    </row>
    <row r="194" spans="1:10" ht="33.950000000000003" customHeight="1" x14ac:dyDescent="0.25">
      <c r="A194" s="15">
        <v>193</v>
      </c>
      <c r="B194" s="15" t="s">
        <v>689</v>
      </c>
      <c r="C194" s="15" t="s">
        <v>37</v>
      </c>
      <c r="D194" s="15" t="s">
        <v>690</v>
      </c>
      <c r="E194" s="15" t="s">
        <v>24</v>
      </c>
      <c r="F194" s="16">
        <v>79</v>
      </c>
      <c r="G194" s="17">
        <v>79</v>
      </c>
      <c r="H194" s="17">
        <v>85</v>
      </c>
      <c r="I194" s="18">
        <f t="shared" ref="I194:I225" si="6">ROUND(F194*0.55+G194*0.3+H194*0.15,0)</f>
        <v>80</v>
      </c>
      <c r="J194" s="15" t="s">
        <v>374</v>
      </c>
    </row>
    <row r="195" spans="1:10" ht="33.950000000000003" customHeight="1" x14ac:dyDescent="0.25">
      <c r="A195" s="19">
        <v>194</v>
      </c>
      <c r="B195" s="19" t="s">
        <v>691</v>
      </c>
      <c r="C195" s="19" t="s">
        <v>39</v>
      </c>
      <c r="D195" s="19" t="s">
        <v>501</v>
      </c>
      <c r="E195" s="19" t="s">
        <v>24</v>
      </c>
      <c r="F195" s="20">
        <v>79</v>
      </c>
      <c r="G195" s="21">
        <v>79</v>
      </c>
      <c r="H195" s="21">
        <v>85</v>
      </c>
      <c r="I195" s="22">
        <f t="shared" si="6"/>
        <v>80</v>
      </c>
      <c r="J195" s="19" t="s">
        <v>374</v>
      </c>
    </row>
    <row r="196" spans="1:10" ht="33.950000000000003" customHeight="1" x14ac:dyDescent="0.25">
      <c r="A196" s="15">
        <v>195</v>
      </c>
      <c r="B196" s="15" t="s">
        <v>692</v>
      </c>
      <c r="C196" s="15" t="s">
        <v>50</v>
      </c>
      <c r="D196" s="15" t="s">
        <v>693</v>
      </c>
      <c r="E196" s="15" t="s">
        <v>24</v>
      </c>
      <c r="F196" s="16">
        <v>79</v>
      </c>
      <c r="G196" s="17">
        <v>79</v>
      </c>
      <c r="H196" s="17">
        <v>85</v>
      </c>
      <c r="I196" s="18">
        <f t="shared" si="6"/>
        <v>80</v>
      </c>
      <c r="J196" s="15" t="s">
        <v>374</v>
      </c>
    </row>
    <row r="197" spans="1:10" ht="33.950000000000003" customHeight="1" x14ac:dyDescent="0.25">
      <c r="A197" s="19">
        <v>196</v>
      </c>
      <c r="B197" s="19" t="s">
        <v>694</v>
      </c>
      <c r="C197" s="19" t="s">
        <v>557</v>
      </c>
      <c r="D197" s="19" t="s">
        <v>695</v>
      </c>
      <c r="E197" s="19" t="s">
        <v>24</v>
      </c>
      <c r="F197" s="20">
        <v>79</v>
      </c>
      <c r="G197" s="21">
        <v>79</v>
      </c>
      <c r="H197" s="21">
        <v>85</v>
      </c>
      <c r="I197" s="22">
        <f t="shared" si="6"/>
        <v>80</v>
      </c>
      <c r="J197" s="19" t="s">
        <v>374</v>
      </c>
    </row>
    <row r="198" spans="1:10" ht="33.950000000000003" customHeight="1" x14ac:dyDescent="0.25">
      <c r="A198" s="15">
        <v>197</v>
      </c>
      <c r="B198" s="15" t="s">
        <v>696</v>
      </c>
      <c r="C198" s="15" t="s">
        <v>33</v>
      </c>
      <c r="D198" s="15" t="s">
        <v>697</v>
      </c>
      <c r="E198" s="15" t="s">
        <v>24</v>
      </c>
      <c r="F198" s="16">
        <v>79</v>
      </c>
      <c r="G198" s="17">
        <v>79</v>
      </c>
      <c r="H198" s="17">
        <v>85</v>
      </c>
      <c r="I198" s="18">
        <f t="shared" si="6"/>
        <v>80</v>
      </c>
      <c r="J198" s="15" t="s">
        <v>374</v>
      </c>
    </row>
    <row r="199" spans="1:10" ht="33.950000000000003" customHeight="1" x14ac:dyDescent="0.25">
      <c r="A199" s="19">
        <v>198</v>
      </c>
      <c r="B199" s="19" t="s">
        <v>698</v>
      </c>
      <c r="C199" s="19" t="s">
        <v>334</v>
      </c>
      <c r="D199" s="19" t="s">
        <v>699</v>
      </c>
      <c r="E199" s="19" t="s">
        <v>24</v>
      </c>
      <c r="F199" s="20">
        <v>79</v>
      </c>
      <c r="G199" s="21">
        <v>79</v>
      </c>
      <c r="H199" s="21">
        <v>85</v>
      </c>
      <c r="I199" s="22">
        <f t="shared" si="6"/>
        <v>80</v>
      </c>
      <c r="J199" s="19" t="s">
        <v>374</v>
      </c>
    </row>
    <row r="200" spans="1:10" ht="33.950000000000003" customHeight="1" x14ac:dyDescent="0.25">
      <c r="A200" s="15">
        <v>199</v>
      </c>
      <c r="B200" s="15" t="s">
        <v>700</v>
      </c>
      <c r="C200" s="15" t="s">
        <v>43</v>
      </c>
      <c r="D200" s="15" t="s">
        <v>701</v>
      </c>
      <c r="E200" s="15" t="s">
        <v>24</v>
      </c>
      <c r="F200" s="16">
        <v>79</v>
      </c>
      <c r="G200" s="17">
        <v>79</v>
      </c>
      <c r="H200" s="17">
        <v>85</v>
      </c>
      <c r="I200" s="18">
        <f t="shared" si="6"/>
        <v>80</v>
      </c>
      <c r="J200" s="15" t="s">
        <v>374</v>
      </c>
    </row>
    <row r="201" spans="1:10" ht="33.950000000000003" customHeight="1" x14ac:dyDescent="0.25">
      <c r="A201" s="19">
        <v>200</v>
      </c>
      <c r="B201" s="19" t="s">
        <v>702</v>
      </c>
      <c r="C201" s="19" t="s">
        <v>43</v>
      </c>
      <c r="D201" s="19" t="s">
        <v>703</v>
      </c>
      <c r="E201" s="19" t="s">
        <v>24</v>
      </c>
      <c r="F201" s="20">
        <v>79</v>
      </c>
      <c r="G201" s="21">
        <v>79</v>
      </c>
      <c r="H201" s="21">
        <v>85</v>
      </c>
      <c r="I201" s="22">
        <f t="shared" si="6"/>
        <v>80</v>
      </c>
      <c r="J201" s="19" t="s">
        <v>374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showGridLines="0" tabSelected="1" workbookViewId="0">
      <pane ySplit="1" topLeftCell="A18" activePane="bottomLeft" state="frozen"/>
      <selection pane="bottomLeft" activeCell="D26" sqref="D26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20" customWidth="1"/>
    <col min="6" max="7" width="13" customWidth="1"/>
    <col min="8" max="8" width="15" customWidth="1"/>
    <col min="9" max="9" width="14" customWidth="1"/>
    <col min="10" max="10" width="76" customWidth="1"/>
  </cols>
  <sheetData>
    <row r="1" spans="1:10" ht="30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33.950000000000003" customHeight="1" x14ac:dyDescent="0.25">
      <c r="A2" s="3">
        <v>1</v>
      </c>
      <c r="B2" s="3" t="s">
        <v>184</v>
      </c>
      <c r="C2" s="3" t="s">
        <v>93</v>
      </c>
      <c r="D2" s="3" t="s">
        <v>704</v>
      </c>
      <c r="E2" s="3" t="s">
        <v>24</v>
      </c>
      <c r="F2" s="4">
        <v>100</v>
      </c>
      <c r="G2" s="5">
        <v>100</v>
      </c>
      <c r="H2" s="5">
        <v>96</v>
      </c>
      <c r="I2" s="6">
        <f t="shared" ref="I2:I33" si="0">ROUND(F2*0.55+G2*0.3+H2*0.15,0)</f>
        <v>99</v>
      </c>
      <c r="J2" s="3" t="s">
        <v>705</v>
      </c>
    </row>
    <row r="3" spans="1:10" ht="33.950000000000003" customHeight="1" x14ac:dyDescent="0.25">
      <c r="A3" s="3">
        <v>2</v>
      </c>
      <c r="B3" s="3" t="s">
        <v>387</v>
      </c>
      <c r="C3" s="3" t="s">
        <v>120</v>
      </c>
      <c r="D3" s="3" t="s">
        <v>706</v>
      </c>
      <c r="E3" s="3" t="s">
        <v>24</v>
      </c>
      <c r="F3" s="4">
        <v>100</v>
      </c>
      <c r="G3" s="5">
        <v>100</v>
      </c>
      <c r="H3" s="5">
        <v>95</v>
      </c>
      <c r="I3" s="6">
        <f t="shared" si="0"/>
        <v>99</v>
      </c>
      <c r="J3" s="3" t="s">
        <v>705</v>
      </c>
    </row>
    <row r="4" spans="1:10" ht="33.950000000000003" customHeight="1" x14ac:dyDescent="0.25">
      <c r="A4" s="3">
        <v>3</v>
      </c>
      <c r="B4" s="3" t="s">
        <v>38</v>
      </c>
      <c r="C4" s="3" t="s">
        <v>39</v>
      </c>
      <c r="D4" s="3" t="s">
        <v>707</v>
      </c>
      <c r="E4" s="3" t="s">
        <v>24</v>
      </c>
      <c r="F4" s="4">
        <v>100</v>
      </c>
      <c r="G4" s="5">
        <v>100</v>
      </c>
      <c r="H4" s="5">
        <v>95</v>
      </c>
      <c r="I4" s="6">
        <f t="shared" si="0"/>
        <v>99</v>
      </c>
      <c r="J4" s="3" t="s">
        <v>705</v>
      </c>
    </row>
    <row r="5" spans="1:10" ht="33.950000000000003" customHeight="1" x14ac:dyDescent="0.25">
      <c r="A5" s="3">
        <v>4</v>
      </c>
      <c r="B5" s="3" t="s">
        <v>534</v>
      </c>
      <c r="C5" s="3" t="s">
        <v>43</v>
      </c>
      <c r="D5" s="3" t="s">
        <v>708</v>
      </c>
      <c r="E5" s="3" t="s">
        <v>24</v>
      </c>
      <c r="F5" s="4">
        <v>99</v>
      </c>
      <c r="G5" s="5">
        <v>99</v>
      </c>
      <c r="H5" s="5">
        <v>94</v>
      </c>
      <c r="I5" s="6">
        <f t="shared" si="0"/>
        <v>98</v>
      </c>
      <c r="J5" s="3" t="s">
        <v>705</v>
      </c>
    </row>
    <row r="6" spans="1:10" ht="33.950000000000003" customHeight="1" x14ac:dyDescent="0.25">
      <c r="A6" s="3">
        <v>5</v>
      </c>
      <c r="B6" s="3" t="s">
        <v>709</v>
      </c>
      <c r="C6" s="3" t="s">
        <v>43</v>
      </c>
      <c r="D6" s="3" t="s">
        <v>710</v>
      </c>
      <c r="E6" s="3" t="s">
        <v>24</v>
      </c>
      <c r="F6" s="4">
        <v>99</v>
      </c>
      <c r="G6" s="5">
        <v>99</v>
      </c>
      <c r="H6" s="5">
        <v>94</v>
      </c>
      <c r="I6" s="6">
        <f t="shared" si="0"/>
        <v>98</v>
      </c>
      <c r="J6" s="3" t="s">
        <v>705</v>
      </c>
    </row>
    <row r="7" spans="1:10" ht="33.950000000000003" customHeight="1" x14ac:dyDescent="0.25">
      <c r="A7" s="3">
        <v>6</v>
      </c>
      <c r="B7" s="3" t="s">
        <v>711</v>
      </c>
      <c r="C7" s="3" t="s">
        <v>712</v>
      </c>
      <c r="D7" s="3" t="s">
        <v>713</v>
      </c>
      <c r="E7" s="3" t="s">
        <v>24</v>
      </c>
      <c r="F7" s="4">
        <v>99</v>
      </c>
      <c r="G7" s="5">
        <v>98</v>
      </c>
      <c r="H7" s="5">
        <v>93</v>
      </c>
      <c r="I7" s="6">
        <f t="shared" si="0"/>
        <v>98</v>
      </c>
      <c r="J7" s="3" t="s">
        <v>705</v>
      </c>
    </row>
    <row r="8" spans="1:10" ht="33.950000000000003" customHeight="1" x14ac:dyDescent="0.25">
      <c r="A8" s="3">
        <v>7</v>
      </c>
      <c r="B8" s="3" t="s">
        <v>714</v>
      </c>
      <c r="C8" s="3" t="s">
        <v>43</v>
      </c>
      <c r="D8" s="3" t="s">
        <v>715</v>
      </c>
      <c r="E8" s="3" t="s">
        <v>24</v>
      </c>
      <c r="F8" s="4">
        <v>99</v>
      </c>
      <c r="G8" s="5">
        <v>98</v>
      </c>
      <c r="H8" s="5">
        <v>93</v>
      </c>
      <c r="I8" s="6">
        <f t="shared" si="0"/>
        <v>98</v>
      </c>
      <c r="J8" s="3" t="s">
        <v>705</v>
      </c>
    </row>
    <row r="9" spans="1:10" ht="33.950000000000003" customHeight="1" x14ac:dyDescent="0.25">
      <c r="A9" s="3">
        <v>8</v>
      </c>
      <c r="B9" s="3" t="s">
        <v>716</v>
      </c>
      <c r="C9" s="3" t="s">
        <v>43</v>
      </c>
      <c r="D9" s="3" t="s">
        <v>717</v>
      </c>
      <c r="E9" s="3" t="s">
        <v>24</v>
      </c>
      <c r="F9" s="4">
        <v>99</v>
      </c>
      <c r="G9" s="5">
        <v>98</v>
      </c>
      <c r="H9" s="5">
        <v>93</v>
      </c>
      <c r="I9" s="6">
        <f t="shared" si="0"/>
        <v>98</v>
      </c>
      <c r="J9" s="3" t="s">
        <v>705</v>
      </c>
    </row>
    <row r="10" spans="1:10" ht="33.950000000000003" customHeight="1" x14ac:dyDescent="0.25">
      <c r="A10" s="3">
        <v>9</v>
      </c>
      <c r="B10" s="3" t="s">
        <v>718</v>
      </c>
      <c r="C10" s="3" t="s">
        <v>35</v>
      </c>
      <c r="D10" s="3" t="s">
        <v>719</v>
      </c>
      <c r="E10" s="3" t="s">
        <v>24</v>
      </c>
      <c r="F10" s="4">
        <v>98</v>
      </c>
      <c r="G10" s="5">
        <v>97</v>
      </c>
      <c r="H10" s="5">
        <v>92</v>
      </c>
      <c r="I10" s="6">
        <f t="shared" si="0"/>
        <v>97</v>
      </c>
      <c r="J10" s="3" t="s">
        <v>705</v>
      </c>
    </row>
    <row r="11" spans="1:10" ht="33.950000000000003" customHeight="1" x14ac:dyDescent="0.25">
      <c r="A11" s="3">
        <v>10</v>
      </c>
      <c r="B11" s="3" t="s">
        <v>720</v>
      </c>
      <c r="C11" s="3" t="s">
        <v>35</v>
      </c>
      <c r="D11" s="3" t="s">
        <v>721</v>
      </c>
      <c r="E11" s="3" t="s">
        <v>24</v>
      </c>
      <c r="F11" s="4">
        <v>98</v>
      </c>
      <c r="G11" s="5">
        <v>97</v>
      </c>
      <c r="H11" s="5">
        <v>92</v>
      </c>
      <c r="I11" s="6">
        <f t="shared" si="0"/>
        <v>97</v>
      </c>
      <c r="J11" s="3" t="s">
        <v>705</v>
      </c>
    </row>
    <row r="12" spans="1:10" ht="33.950000000000003" customHeight="1" x14ac:dyDescent="0.25">
      <c r="A12" s="7">
        <v>11</v>
      </c>
      <c r="B12" s="7" t="s">
        <v>421</v>
      </c>
      <c r="C12" s="7" t="s">
        <v>43</v>
      </c>
      <c r="D12" s="7" t="s">
        <v>722</v>
      </c>
      <c r="E12" s="7" t="s">
        <v>24</v>
      </c>
      <c r="F12" s="8">
        <v>97</v>
      </c>
      <c r="G12" s="9">
        <v>96</v>
      </c>
      <c r="H12" s="9">
        <v>91</v>
      </c>
      <c r="I12" s="10">
        <f t="shared" si="0"/>
        <v>96</v>
      </c>
      <c r="J12" s="7" t="s">
        <v>705</v>
      </c>
    </row>
    <row r="13" spans="1:10" ht="33.950000000000003" customHeight="1" x14ac:dyDescent="0.25">
      <c r="A13" s="7">
        <v>12</v>
      </c>
      <c r="B13" s="7" t="s">
        <v>462</v>
      </c>
      <c r="C13" s="7" t="s">
        <v>43</v>
      </c>
      <c r="D13" s="7" t="s">
        <v>722</v>
      </c>
      <c r="E13" s="7" t="s">
        <v>24</v>
      </c>
      <c r="F13" s="8">
        <v>97</v>
      </c>
      <c r="G13" s="9">
        <v>96</v>
      </c>
      <c r="H13" s="9">
        <v>91</v>
      </c>
      <c r="I13" s="10">
        <f t="shared" si="0"/>
        <v>96</v>
      </c>
      <c r="J13" s="7" t="s">
        <v>705</v>
      </c>
    </row>
    <row r="14" spans="1:10" ht="33.950000000000003" customHeight="1" x14ac:dyDescent="0.25">
      <c r="A14" s="7">
        <v>13</v>
      </c>
      <c r="B14" s="7" t="s">
        <v>497</v>
      </c>
      <c r="C14" s="7" t="s">
        <v>43</v>
      </c>
      <c r="D14" s="7" t="s">
        <v>723</v>
      </c>
      <c r="E14" s="7" t="s">
        <v>24</v>
      </c>
      <c r="F14" s="8">
        <v>97</v>
      </c>
      <c r="G14" s="9">
        <v>96</v>
      </c>
      <c r="H14" s="9">
        <v>91</v>
      </c>
      <c r="I14" s="10">
        <f t="shared" si="0"/>
        <v>96</v>
      </c>
      <c r="J14" s="7" t="s">
        <v>705</v>
      </c>
    </row>
    <row r="15" spans="1:10" ht="33.950000000000003" customHeight="1" x14ac:dyDescent="0.25">
      <c r="A15" s="7">
        <v>14</v>
      </c>
      <c r="B15" s="7" t="s">
        <v>724</v>
      </c>
      <c r="C15" s="7" t="s">
        <v>43</v>
      </c>
      <c r="D15" s="7" t="s">
        <v>725</v>
      </c>
      <c r="E15" s="7" t="s">
        <v>24</v>
      </c>
      <c r="F15" s="8">
        <v>97</v>
      </c>
      <c r="G15" s="9">
        <v>96</v>
      </c>
      <c r="H15" s="9">
        <v>91</v>
      </c>
      <c r="I15" s="10">
        <f t="shared" si="0"/>
        <v>96</v>
      </c>
      <c r="J15" s="7" t="s">
        <v>705</v>
      </c>
    </row>
    <row r="16" spans="1:10" ht="33.950000000000003" customHeight="1" x14ac:dyDescent="0.25">
      <c r="A16" s="7">
        <v>15</v>
      </c>
      <c r="B16" s="7" t="s">
        <v>726</v>
      </c>
      <c r="C16" s="7" t="s">
        <v>43</v>
      </c>
      <c r="D16" s="7" t="s">
        <v>727</v>
      </c>
      <c r="E16" s="7" t="s">
        <v>24</v>
      </c>
      <c r="F16" s="8">
        <v>97</v>
      </c>
      <c r="G16" s="9">
        <v>96</v>
      </c>
      <c r="H16" s="9">
        <v>91</v>
      </c>
      <c r="I16" s="10">
        <f t="shared" si="0"/>
        <v>96</v>
      </c>
      <c r="J16" s="7" t="s">
        <v>705</v>
      </c>
    </row>
    <row r="17" spans="1:10" ht="33.950000000000003" customHeight="1" x14ac:dyDescent="0.25">
      <c r="A17" s="7">
        <v>16</v>
      </c>
      <c r="B17" s="7" t="s">
        <v>728</v>
      </c>
      <c r="C17" s="7" t="s">
        <v>43</v>
      </c>
      <c r="D17" s="7" t="s">
        <v>729</v>
      </c>
      <c r="E17" s="7" t="s">
        <v>24</v>
      </c>
      <c r="F17" s="8">
        <v>96</v>
      </c>
      <c r="G17" s="9">
        <v>95</v>
      </c>
      <c r="H17" s="9">
        <v>90</v>
      </c>
      <c r="I17" s="10">
        <f t="shared" si="0"/>
        <v>95</v>
      </c>
      <c r="J17" s="7" t="s">
        <v>705</v>
      </c>
    </row>
    <row r="18" spans="1:10" ht="33.950000000000003" customHeight="1" x14ac:dyDescent="0.25">
      <c r="A18" s="7">
        <v>17</v>
      </c>
      <c r="B18" s="7" t="s">
        <v>730</v>
      </c>
      <c r="C18" s="7" t="s">
        <v>328</v>
      </c>
      <c r="D18" s="7" t="s">
        <v>731</v>
      </c>
      <c r="E18" s="7" t="s">
        <v>24</v>
      </c>
      <c r="F18" s="8">
        <v>96</v>
      </c>
      <c r="G18" s="9">
        <v>95</v>
      </c>
      <c r="H18" s="9">
        <v>90</v>
      </c>
      <c r="I18" s="10">
        <f t="shared" si="0"/>
        <v>95</v>
      </c>
      <c r="J18" s="7" t="s">
        <v>705</v>
      </c>
    </row>
    <row r="19" spans="1:10" ht="33.950000000000003" customHeight="1" x14ac:dyDescent="0.25">
      <c r="A19" s="7">
        <v>18</v>
      </c>
      <c r="B19" s="7" t="s">
        <v>732</v>
      </c>
      <c r="C19" s="7" t="s">
        <v>43</v>
      </c>
      <c r="D19" s="7" t="s">
        <v>733</v>
      </c>
      <c r="E19" s="7" t="s">
        <v>24</v>
      </c>
      <c r="F19" s="8">
        <v>96</v>
      </c>
      <c r="G19" s="9">
        <v>95</v>
      </c>
      <c r="H19" s="9">
        <v>90</v>
      </c>
      <c r="I19" s="10">
        <f t="shared" si="0"/>
        <v>95</v>
      </c>
      <c r="J19" s="7" t="s">
        <v>705</v>
      </c>
    </row>
    <row r="20" spans="1:10" ht="33.950000000000003" customHeight="1" x14ac:dyDescent="0.25">
      <c r="A20" s="7">
        <v>19</v>
      </c>
      <c r="B20" s="7" t="s">
        <v>734</v>
      </c>
      <c r="C20" s="7" t="s">
        <v>257</v>
      </c>
      <c r="D20" s="7" t="s">
        <v>735</v>
      </c>
      <c r="E20" s="7" t="s">
        <v>24</v>
      </c>
      <c r="F20" s="8">
        <v>96</v>
      </c>
      <c r="G20" s="9">
        <v>95</v>
      </c>
      <c r="H20" s="9">
        <v>90</v>
      </c>
      <c r="I20" s="10">
        <f t="shared" si="0"/>
        <v>95</v>
      </c>
      <c r="J20" s="7" t="s">
        <v>705</v>
      </c>
    </row>
    <row r="21" spans="1:10" ht="33.950000000000003" customHeight="1" x14ac:dyDescent="0.25">
      <c r="A21" s="7">
        <v>20</v>
      </c>
      <c r="B21" s="7" t="s">
        <v>736</v>
      </c>
      <c r="C21" s="7" t="s">
        <v>56</v>
      </c>
      <c r="D21" s="7" t="s">
        <v>737</v>
      </c>
      <c r="E21" s="7" t="s">
        <v>24</v>
      </c>
      <c r="F21" s="8">
        <v>96</v>
      </c>
      <c r="G21" s="9">
        <v>95</v>
      </c>
      <c r="H21" s="9">
        <v>90</v>
      </c>
      <c r="I21" s="10">
        <f t="shared" si="0"/>
        <v>95</v>
      </c>
      <c r="J21" s="7" t="s">
        <v>705</v>
      </c>
    </row>
    <row r="22" spans="1:10" ht="33.950000000000003" customHeight="1" x14ac:dyDescent="0.25">
      <c r="A22" s="7">
        <v>21</v>
      </c>
      <c r="B22" s="7" t="s">
        <v>738</v>
      </c>
      <c r="C22" s="7" t="s">
        <v>50</v>
      </c>
      <c r="D22" s="7" t="s">
        <v>739</v>
      </c>
      <c r="E22" s="7" t="s">
        <v>24</v>
      </c>
      <c r="F22" s="8">
        <v>95</v>
      </c>
      <c r="G22" s="9">
        <v>94</v>
      </c>
      <c r="H22" s="9">
        <v>91</v>
      </c>
      <c r="I22" s="10">
        <f t="shared" si="0"/>
        <v>94</v>
      </c>
      <c r="J22" s="7" t="s">
        <v>705</v>
      </c>
    </row>
    <row r="23" spans="1:10" ht="33.950000000000003" customHeight="1" x14ac:dyDescent="0.25">
      <c r="A23" s="7">
        <v>22</v>
      </c>
      <c r="B23" s="7" t="s">
        <v>740</v>
      </c>
      <c r="C23" s="7" t="s">
        <v>367</v>
      </c>
      <c r="D23" s="7" t="s">
        <v>741</v>
      </c>
      <c r="E23" s="7" t="s">
        <v>24</v>
      </c>
      <c r="F23" s="8">
        <v>95</v>
      </c>
      <c r="G23" s="9">
        <v>94</v>
      </c>
      <c r="H23" s="9">
        <v>91</v>
      </c>
      <c r="I23" s="10">
        <f t="shared" si="0"/>
        <v>94</v>
      </c>
      <c r="J23" s="7" t="s">
        <v>705</v>
      </c>
    </row>
    <row r="24" spans="1:10" ht="33.950000000000003" customHeight="1" x14ac:dyDescent="0.25">
      <c r="A24" s="7">
        <v>23</v>
      </c>
      <c r="B24" s="7" t="s">
        <v>494</v>
      </c>
      <c r="C24" s="7" t="s">
        <v>82</v>
      </c>
      <c r="D24" s="7" t="s">
        <v>742</v>
      </c>
      <c r="E24" s="7" t="s">
        <v>24</v>
      </c>
      <c r="F24" s="8">
        <v>95</v>
      </c>
      <c r="G24" s="9">
        <v>94</v>
      </c>
      <c r="H24" s="9">
        <v>91</v>
      </c>
      <c r="I24" s="10">
        <f t="shared" si="0"/>
        <v>94</v>
      </c>
      <c r="J24" s="7" t="s">
        <v>705</v>
      </c>
    </row>
    <row r="25" spans="1:10" ht="33.950000000000003" customHeight="1" x14ac:dyDescent="0.25">
      <c r="A25" s="7">
        <v>24</v>
      </c>
      <c r="B25" s="7" t="s">
        <v>743</v>
      </c>
      <c r="C25" s="7" t="s">
        <v>53</v>
      </c>
      <c r="D25" s="7" t="s">
        <v>744</v>
      </c>
      <c r="E25" s="7" t="s">
        <v>24</v>
      </c>
      <c r="F25" s="8">
        <v>95</v>
      </c>
      <c r="G25" s="9">
        <v>94</v>
      </c>
      <c r="H25" s="9">
        <v>91</v>
      </c>
      <c r="I25" s="10">
        <f t="shared" si="0"/>
        <v>94</v>
      </c>
      <c r="J25" s="7" t="s">
        <v>705</v>
      </c>
    </row>
    <row r="26" spans="1:10" ht="33.950000000000003" customHeight="1" x14ac:dyDescent="0.25">
      <c r="A26" s="7">
        <v>25</v>
      </c>
      <c r="B26" s="7" t="s">
        <v>745</v>
      </c>
      <c r="C26" s="7" t="s">
        <v>53</v>
      </c>
      <c r="D26" s="7" t="s">
        <v>746</v>
      </c>
      <c r="E26" s="7" t="s">
        <v>24</v>
      </c>
      <c r="F26" s="8">
        <v>95</v>
      </c>
      <c r="G26" s="9">
        <v>94</v>
      </c>
      <c r="H26" s="9">
        <v>91</v>
      </c>
      <c r="I26" s="10">
        <f t="shared" si="0"/>
        <v>94</v>
      </c>
      <c r="J26" s="7" t="s">
        <v>705</v>
      </c>
    </row>
    <row r="27" spans="1:10" ht="33.950000000000003" customHeight="1" x14ac:dyDescent="0.25">
      <c r="A27" s="11">
        <v>26</v>
      </c>
      <c r="B27" s="11" t="s">
        <v>747</v>
      </c>
      <c r="C27" s="11" t="s">
        <v>53</v>
      </c>
      <c r="D27" s="11" t="s">
        <v>748</v>
      </c>
      <c r="E27" s="11" t="s">
        <v>24</v>
      </c>
      <c r="F27" s="12">
        <v>93</v>
      </c>
      <c r="G27" s="13">
        <v>93</v>
      </c>
      <c r="H27" s="13">
        <v>90</v>
      </c>
      <c r="I27" s="14">
        <f t="shared" si="0"/>
        <v>93</v>
      </c>
      <c r="J27" s="11" t="s">
        <v>705</v>
      </c>
    </row>
    <row r="28" spans="1:10" ht="33.950000000000003" customHeight="1" x14ac:dyDescent="0.25">
      <c r="A28" s="11">
        <v>27</v>
      </c>
      <c r="B28" s="11" t="s">
        <v>531</v>
      </c>
      <c r="C28" s="11" t="s">
        <v>50</v>
      </c>
      <c r="D28" s="11" t="s">
        <v>722</v>
      </c>
      <c r="E28" s="11" t="s">
        <v>24</v>
      </c>
      <c r="F28" s="12">
        <v>93</v>
      </c>
      <c r="G28" s="13">
        <v>93</v>
      </c>
      <c r="H28" s="13">
        <v>90</v>
      </c>
      <c r="I28" s="14">
        <f t="shared" si="0"/>
        <v>93</v>
      </c>
      <c r="J28" s="11" t="s">
        <v>705</v>
      </c>
    </row>
    <row r="29" spans="1:10" ht="33.950000000000003" customHeight="1" x14ac:dyDescent="0.25">
      <c r="A29" s="11">
        <v>28</v>
      </c>
      <c r="B29" s="11" t="s">
        <v>615</v>
      </c>
      <c r="C29" s="11" t="s">
        <v>50</v>
      </c>
      <c r="D29" s="11" t="s">
        <v>722</v>
      </c>
      <c r="E29" s="11" t="s">
        <v>24</v>
      </c>
      <c r="F29" s="12">
        <v>93</v>
      </c>
      <c r="G29" s="13">
        <v>93</v>
      </c>
      <c r="H29" s="13">
        <v>90</v>
      </c>
      <c r="I29" s="14">
        <f t="shared" si="0"/>
        <v>93</v>
      </c>
      <c r="J29" s="11" t="s">
        <v>705</v>
      </c>
    </row>
    <row r="30" spans="1:10" ht="33.950000000000003" customHeight="1" x14ac:dyDescent="0.25">
      <c r="A30" s="11">
        <v>29</v>
      </c>
      <c r="B30" s="11" t="s">
        <v>60</v>
      </c>
      <c r="C30" s="11" t="s">
        <v>41</v>
      </c>
      <c r="D30" s="11" t="s">
        <v>722</v>
      </c>
      <c r="E30" s="11" t="s">
        <v>24</v>
      </c>
      <c r="F30" s="12">
        <v>93</v>
      </c>
      <c r="G30" s="13">
        <v>93</v>
      </c>
      <c r="H30" s="13">
        <v>90</v>
      </c>
      <c r="I30" s="14">
        <f t="shared" si="0"/>
        <v>93</v>
      </c>
      <c r="J30" s="11" t="s">
        <v>705</v>
      </c>
    </row>
    <row r="31" spans="1:10" ht="33.950000000000003" customHeight="1" x14ac:dyDescent="0.25">
      <c r="A31" s="11">
        <v>30</v>
      </c>
      <c r="B31" s="11" t="s">
        <v>40</v>
      </c>
      <c r="C31" s="11" t="s">
        <v>115</v>
      </c>
      <c r="D31" s="11" t="s">
        <v>722</v>
      </c>
      <c r="E31" s="11" t="s">
        <v>24</v>
      </c>
      <c r="F31" s="12">
        <v>93</v>
      </c>
      <c r="G31" s="13">
        <v>93</v>
      </c>
      <c r="H31" s="13">
        <v>90</v>
      </c>
      <c r="I31" s="14">
        <f t="shared" si="0"/>
        <v>93</v>
      </c>
      <c r="J31" s="11" t="s">
        <v>705</v>
      </c>
    </row>
    <row r="32" spans="1:10" ht="33.950000000000003" customHeight="1" x14ac:dyDescent="0.25">
      <c r="A32" s="11">
        <v>31</v>
      </c>
      <c r="B32" s="11" t="s">
        <v>749</v>
      </c>
      <c r="C32" s="11" t="s">
        <v>120</v>
      </c>
      <c r="D32" s="11" t="s">
        <v>722</v>
      </c>
      <c r="E32" s="11" t="s">
        <v>24</v>
      </c>
      <c r="F32" s="12">
        <v>93</v>
      </c>
      <c r="G32" s="13">
        <v>93</v>
      </c>
      <c r="H32" s="13">
        <v>90</v>
      </c>
      <c r="I32" s="14">
        <f t="shared" si="0"/>
        <v>93</v>
      </c>
      <c r="J32" s="11" t="s">
        <v>705</v>
      </c>
    </row>
    <row r="33" spans="1:10" ht="33.950000000000003" customHeight="1" x14ac:dyDescent="0.25">
      <c r="A33" s="11">
        <v>32</v>
      </c>
      <c r="B33" s="11" t="s">
        <v>750</v>
      </c>
      <c r="C33" s="11" t="s">
        <v>115</v>
      </c>
      <c r="D33" s="11" t="s">
        <v>751</v>
      </c>
      <c r="E33" s="11" t="s">
        <v>24</v>
      </c>
      <c r="F33" s="12">
        <v>93</v>
      </c>
      <c r="G33" s="13">
        <v>93</v>
      </c>
      <c r="H33" s="13">
        <v>90</v>
      </c>
      <c r="I33" s="14">
        <f t="shared" si="0"/>
        <v>93</v>
      </c>
      <c r="J33" s="11" t="s">
        <v>705</v>
      </c>
    </row>
    <row r="34" spans="1:10" ht="33.950000000000003" customHeight="1" x14ac:dyDescent="0.25">
      <c r="A34" s="11">
        <v>33</v>
      </c>
      <c r="B34" s="11" t="s">
        <v>752</v>
      </c>
      <c r="C34" s="11" t="s">
        <v>120</v>
      </c>
      <c r="D34" s="11" t="s">
        <v>722</v>
      </c>
      <c r="E34" s="11" t="s">
        <v>24</v>
      </c>
      <c r="F34" s="12">
        <v>93</v>
      </c>
      <c r="G34" s="13">
        <v>93</v>
      </c>
      <c r="H34" s="13">
        <v>90</v>
      </c>
      <c r="I34" s="14">
        <f t="shared" ref="I34:I65" si="1">ROUND(F34*0.55+G34*0.3+H34*0.15,0)</f>
        <v>93</v>
      </c>
      <c r="J34" s="11" t="s">
        <v>705</v>
      </c>
    </row>
    <row r="35" spans="1:10" ht="33.950000000000003" customHeight="1" x14ac:dyDescent="0.25">
      <c r="A35" s="11">
        <v>34</v>
      </c>
      <c r="B35" s="11" t="s">
        <v>365</v>
      </c>
      <c r="C35" s="11" t="s">
        <v>43</v>
      </c>
      <c r="D35" s="11" t="s">
        <v>753</v>
      </c>
      <c r="E35" s="11" t="s">
        <v>24</v>
      </c>
      <c r="F35" s="12">
        <v>92</v>
      </c>
      <c r="G35" s="13">
        <v>92</v>
      </c>
      <c r="H35" s="13">
        <v>89</v>
      </c>
      <c r="I35" s="14">
        <f t="shared" si="1"/>
        <v>92</v>
      </c>
      <c r="J35" s="11" t="s">
        <v>705</v>
      </c>
    </row>
    <row r="36" spans="1:10" ht="33.950000000000003" customHeight="1" x14ac:dyDescent="0.25">
      <c r="A36" s="11">
        <v>35</v>
      </c>
      <c r="B36" s="11" t="s">
        <v>754</v>
      </c>
      <c r="C36" s="11" t="s">
        <v>43</v>
      </c>
      <c r="D36" s="11" t="s">
        <v>721</v>
      </c>
      <c r="E36" s="11" t="s">
        <v>24</v>
      </c>
      <c r="F36" s="12">
        <v>92</v>
      </c>
      <c r="G36" s="13">
        <v>92</v>
      </c>
      <c r="H36" s="13">
        <v>89</v>
      </c>
      <c r="I36" s="14">
        <f t="shared" si="1"/>
        <v>92</v>
      </c>
      <c r="J36" s="11" t="s">
        <v>705</v>
      </c>
    </row>
    <row r="37" spans="1:10" ht="33.950000000000003" customHeight="1" x14ac:dyDescent="0.25">
      <c r="A37" s="11">
        <v>36</v>
      </c>
      <c r="B37" s="11" t="s">
        <v>45</v>
      </c>
      <c r="C37" s="11" t="s">
        <v>43</v>
      </c>
      <c r="D37" s="11" t="s">
        <v>721</v>
      </c>
      <c r="E37" s="11" t="s">
        <v>24</v>
      </c>
      <c r="F37" s="12">
        <v>92</v>
      </c>
      <c r="G37" s="13">
        <v>92</v>
      </c>
      <c r="H37" s="13">
        <v>89</v>
      </c>
      <c r="I37" s="14">
        <f t="shared" si="1"/>
        <v>92</v>
      </c>
      <c r="J37" s="11" t="s">
        <v>705</v>
      </c>
    </row>
    <row r="38" spans="1:10" ht="33.950000000000003" customHeight="1" x14ac:dyDescent="0.25">
      <c r="A38" s="11">
        <v>37</v>
      </c>
      <c r="B38" s="11" t="s">
        <v>755</v>
      </c>
      <c r="C38" s="11" t="s">
        <v>43</v>
      </c>
      <c r="D38" s="11" t="s">
        <v>756</v>
      </c>
      <c r="E38" s="11" t="s">
        <v>24</v>
      </c>
      <c r="F38" s="12">
        <v>92</v>
      </c>
      <c r="G38" s="13">
        <v>92</v>
      </c>
      <c r="H38" s="13">
        <v>89</v>
      </c>
      <c r="I38" s="14">
        <f t="shared" si="1"/>
        <v>92</v>
      </c>
      <c r="J38" s="11" t="s">
        <v>705</v>
      </c>
    </row>
    <row r="39" spans="1:10" ht="33.950000000000003" customHeight="1" x14ac:dyDescent="0.25">
      <c r="A39" s="11">
        <v>38</v>
      </c>
      <c r="B39" s="11" t="s">
        <v>757</v>
      </c>
      <c r="C39" s="11" t="s">
        <v>43</v>
      </c>
      <c r="D39" s="11" t="s">
        <v>741</v>
      </c>
      <c r="E39" s="11" t="s">
        <v>24</v>
      </c>
      <c r="F39" s="12">
        <v>92</v>
      </c>
      <c r="G39" s="13">
        <v>92</v>
      </c>
      <c r="H39" s="13">
        <v>89</v>
      </c>
      <c r="I39" s="14">
        <f t="shared" si="1"/>
        <v>92</v>
      </c>
      <c r="J39" s="11" t="s">
        <v>705</v>
      </c>
    </row>
    <row r="40" spans="1:10" ht="33.950000000000003" customHeight="1" x14ac:dyDescent="0.25">
      <c r="A40" s="11">
        <v>39</v>
      </c>
      <c r="B40" s="11" t="s">
        <v>758</v>
      </c>
      <c r="C40" s="11" t="s">
        <v>37</v>
      </c>
      <c r="D40" s="11" t="s">
        <v>759</v>
      </c>
      <c r="E40" s="11" t="s">
        <v>24</v>
      </c>
      <c r="F40" s="12">
        <v>92</v>
      </c>
      <c r="G40" s="13">
        <v>92</v>
      </c>
      <c r="H40" s="13">
        <v>89</v>
      </c>
      <c r="I40" s="14">
        <f t="shared" si="1"/>
        <v>92</v>
      </c>
      <c r="J40" s="11" t="s">
        <v>705</v>
      </c>
    </row>
    <row r="41" spans="1:10" ht="33.950000000000003" customHeight="1" x14ac:dyDescent="0.25">
      <c r="A41" s="11">
        <v>40</v>
      </c>
      <c r="B41" s="11" t="s">
        <v>760</v>
      </c>
      <c r="C41" s="11" t="s">
        <v>43</v>
      </c>
      <c r="D41" s="11" t="s">
        <v>761</v>
      </c>
      <c r="E41" s="11" t="s">
        <v>24</v>
      </c>
      <c r="F41" s="12">
        <v>92</v>
      </c>
      <c r="G41" s="13">
        <v>92</v>
      </c>
      <c r="H41" s="13">
        <v>89</v>
      </c>
      <c r="I41" s="14">
        <f t="shared" si="1"/>
        <v>92</v>
      </c>
      <c r="J41" s="11" t="s">
        <v>705</v>
      </c>
    </row>
    <row r="42" spans="1:10" ht="33.950000000000003" customHeight="1" x14ac:dyDescent="0.25">
      <c r="A42" s="11">
        <v>41</v>
      </c>
      <c r="B42" s="11" t="s">
        <v>762</v>
      </c>
      <c r="C42" s="11" t="s">
        <v>43</v>
      </c>
      <c r="D42" s="11" t="s">
        <v>763</v>
      </c>
      <c r="E42" s="11" t="s">
        <v>24</v>
      </c>
      <c r="F42" s="12">
        <v>92</v>
      </c>
      <c r="G42" s="13">
        <v>92</v>
      </c>
      <c r="H42" s="13">
        <v>89</v>
      </c>
      <c r="I42" s="14">
        <f t="shared" si="1"/>
        <v>92</v>
      </c>
      <c r="J42" s="11" t="s">
        <v>705</v>
      </c>
    </row>
    <row r="43" spans="1:10" ht="33.950000000000003" customHeight="1" x14ac:dyDescent="0.25">
      <c r="A43" s="11">
        <v>42</v>
      </c>
      <c r="B43" s="11" t="s">
        <v>764</v>
      </c>
      <c r="C43" s="11" t="s">
        <v>43</v>
      </c>
      <c r="D43" s="11" t="s">
        <v>765</v>
      </c>
      <c r="E43" s="11" t="s">
        <v>24</v>
      </c>
      <c r="F43" s="12">
        <v>91</v>
      </c>
      <c r="G43" s="13">
        <v>91</v>
      </c>
      <c r="H43" s="13">
        <v>88</v>
      </c>
      <c r="I43" s="14">
        <f t="shared" si="1"/>
        <v>91</v>
      </c>
      <c r="J43" s="11" t="s">
        <v>705</v>
      </c>
    </row>
    <row r="44" spans="1:10" ht="33.950000000000003" customHeight="1" x14ac:dyDescent="0.25">
      <c r="A44" s="11">
        <v>43</v>
      </c>
      <c r="B44" s="11" t="s">
        <v>766</v>
      </c>
      <c r="C44" s="11" t="s">
        <v>115</v>
      </c>
      <c r="D44" s="11" t="s">
        <v>767</v>
      </c>
      <c r="E44" s="11" t="s">
        <v>24</v>
      </c>
      <c r="F44" s="12">
        <v>91</v>
      </c>
      <c r="G44" s="13">
        <v>91</v>
      </c>
      <c r="H44" s="13">
        <v>88</v>
      </c>
      <c r="I44" s="14">
        <f t="shared" si="1"/>
        <v>91</v>
      </c>
      <c r="J44" s="11" t="s">
        <v>705</v>
      </c>
    </row>
    <row r="45" spans="1:10" ht="33.950000000000003" customHeight="1" x14ac:dyDescent="0.25">
      <c r="A45" s="11">
        <v>44</v>
      </c>
      <c r="B45" s="11" t="s">
        <v>768</v>
      </c>
      <c r="C45" s="11" t="s">
        <v>136</v>
      </c>
      <c r="D45" s="11" t="s">
        <v>769</v>
      </c>
      <c r="E45" s="11" t="s">
        <v>24</v>
      </c>
      <c r="F45" s="12">
        <v>91</v>
      </c>
      <c r="G45" s="13">
        <v>91</v>
      </c>
      <c r="H45" s="13">
        <v>88</v>
      </c>
      <c r="I45" s="14">
        <f t="shared" si="1"/>
        <v>91</v>
      </c>
      <c r="J45" s="11" t="s">
        <v>705</v>
      </c>
    </row>
    <row r="46" spans="1:10" ht="33.950000000000003" customHeight="1" x14ac:dyDescent="0.25">
      <c r="A46" s="11">
        <v>45</v>
      </c>
      <c r="B46" s="11" t="s">
        <v>770</v>
      </c>
      <c r="C46" s="11" t="s">
        <v>61</v>
      </c>
      <c r="D46" s="11" t="s">
        <v>771</v>
      </c>
      <c r="E46" s="11" t="s">
        <v>24</v>
      </c>
      <c r="F46" s="12">
        <v>91</v>
      </c>
      <c r="G46" s="13">
        <v>91</v>
      </c>
      <c r="H46" s="13">
        <v>88</v>
      </c>
      <c r="I46" s="14">
        <f t="shared" si="1"/>
        <v>91</v>
      </c>
      <c r="J46" s="11" t="s">
        <v>705</v>
      </c>
    </row>
    <row r="47" spans="1:10" ht="33.950000000000003" customHeight="1" x14ac:dyDescent="0.25">
      <c r="A47" s="11">
        <v>46</v>
      </c>
      <c r="B47" s="11" t="s">
        <v>772</v>
      </c>
      <c r="C47" s="11" t="s">
        <v>120</v>
      </c>
      <c r="D47" s="11" t="s">
        <v>729</v>
      </c>
      <c r="E47" s="11" t="s">
        <v>24</v>
      </c>
      <c r="F47" s="12">
        <v>91</v>
      </c>
      <c r="G47" s="13">
        <v>91</v>
      </c>
      <c r="H47" s="13">
        <v>88</v>
      </c>
      <c r="I47" s="14">
        <f t="shared" si="1"/>
        <v>91</v>
      </c>
      <c r="J47" s="11" t="s">
        <v>705</v>
      </c>
    </row>
    <row r="48" spans="1:10" ht="33.950000000000003" customHeight="1" x14ac:dyDescent="0.25">
      <c r="A48" s="11">
        <v>47</v>
      </c>
      <c r="B48" s="11" t="s">
        <v>773</v>
      </c>
      <c r="C48" s="11" t="s">
        <v>712</v>
      </c>
      <c r="D48" s="11" t="s">
        <v>774</v>
      </c>
      <c r="E48" s="11" t="s">
        <v>24</v>
      </c>
      <c r="F48" s="12">
        <v>91</v>
      </c>
      <c r="G48" s="13">
        <v>91</v>
      </c>
      <c r="H48" s="13">
        <v>88</v>
      </c>
      <c r="I48" s="14">
        <f t="shared" si="1"/>
        <v>91</v>
      </c>
      <c r="J48" s="11" t="s">
        <v>705</v>
      </c>
    </row>
    <row r="49" spans="1:10" ht="33.950000000000003" customHeight="1" x14ac:dyDescent="0.25">
      <c r="A49" s="11">
        <v>48</v>
      </c>
      <c r="B49" s="11" t="s">
        <v>775</v>
      </c>
      <c r="C49" s="11" t="s">
        <v>22</v>
      </c>
      <c r="D49" s="11" t="s">
        <v>776</v>
      </c>
      <c r="E49" s="11" t="s">
        <v>24</v>
      </c>
      <c r="F49" s="12">
        <v>91</v>
      </c>
      <c r="G49" s="13">
        <v>91</v>
      </c>
      <c r="H49" s="13">
        <v>88</v>
      </c>
      <c r="I49" s="14">
        <f t="shared" si="1"/>
        <v>91</v>
      </c>
      <c r="J49" s="11" t="s">
        <v>705</v>
      </c>
    </row>
    <row r="50" spans="1:10" ht="33.950000000000003" customHeight="1" x14ac:dyDescent="0.25">
      <c r="A50" s="11">
        <v>49</v>
      </c>
      <c r="B50" s="11" t="s">
        <v>777</v>
      </c>
      <c r="C50" s="11" t="s">
        <v>778</v>
      </c>
      <c r="D50" s="11" t="s">
        <v>771</v>
      </c>
      <c r="E50" s="11" t="s">
        <v>24</v>
      </c>
      <c r="F50" s="12">
        <v>91</v>
      </c>
      <c r="G50" s="13">
        <v>91</v>
      </c>
      <c r="H50" s="13">
        <v>88</v>
      </c>
      <c r="I50" s="14">
        <f t="shared" si="1"/>
        <v>91</v>
      </c>
      <c r="J50" s="11" t="s">
        <v>705</v>
      </c>
    </row>
    <row r="51" spans="1:10" ht="33.950000000000003" customHeight="1" x14ac:dyDescent="0.25">
      <c r="A51" s="11">
        <v>50</v>
      </c>
      <c r="B51" s="11" t="s">
        <v>779</v>
      </c>
      <c r="C51" s="11" t="s">
        <v>154</v>
      </c>
      <c r="D51" s="11" t="s">
        <v>780</v>
      </c>
      <c r="E51" s="11" t="s">
        <v>24</v>
      </c>
      <c r="F51" s="12">
        <v>90</v>
      </c>
      <c r="G51" s="13">
        <v>90</v>
      </c>
      <c r="H51" s="13">
        <v>87</v>
      </c>
      <c r="I51" s="14">
        <f t="shared" si="1"/>
        <v>90</v>
      </c>
      <c r="J51" s="11" t="s">
        <v>705</v>
      </c>
    </row>
    <row r="52" spans="1:10" ht="33.950000000000003" customHeight="1" x14ac:dyDescent="0.25">
      <c r="A52" s="15">
        <v>51</v>
      </c>
      <c r="B52" s="15" t="s">
        <v>364</v>
      </c>
      <c r="C52" s="15" t="s">
        <v>58</v>
      </c>
      <c r="D52" s="15" t="s">
        <v>741</v>
      </c>
      <c r="E52" s="15" t="s">
        <v>24</v>
      </c>
      <c r="F52" s="16">
        <v>89</v>
      </c>
      <c r="G52" s="17">
        <v>88</v>
      </c>
      <c r="H52" s="17">
        <v>86</v>
      </c>
      <c r="I52" s="18">
        <f t="shared" si="1"/>
        <v>88</v>
      </c>
      <c r="J52" s="15" t="s">
        <v>705</v>
      </c>
    </row>
    <row r="53" spans="1:10" ht="33.950000000000003" customHeight="1" x14ac:dyDescent="0.25">
      <c r="A53" s="19">
        <v>52</v>
      </c>
      <c r="B53" s="19" t="s">
        <v>127</v>
      </c>
      <c r="C53" s="19" t="s">
        <v>56</v>
      </c>
      <c r="D53" s="19" t="s">
        <v>781</v>
      </c>
      <c r="E53" s="19" t="s">
        <v>24</v>
      </c>
      <c r="F53" s="20">
        <v>89</v>
      </c>
      <c r="G53" s="21">
        <v>88</v>
      </c>
      <c r="H53" s="21">
        <v>86</v>
      </c>
      <c r="I53" s="22">
        <f t="shared" si="1"/>
        <v>88</v>
      </c>
      <c r="J53" s="19" t="s">
        <v>705</v>
      </c>
    </row>
    <row r="54" spans="1:10" ht="33.950000000000003" customHeight="1" x14ac:dyDescent="0.25">
      <c r="A54" s="15">
        <v>53</v>
      </c>
      <c r="B54" s="15" t="s">
        <v>782</v>
      </c>
      <c r="C54" s="15" t="s">
        <v>105</v>
      </c>
      <c r="D54" s="15" t="s">
        <v>783</v>
      </c>
      <c r="E54" s="15" t="s">
        <v>24</v>
      </c>
      <c r="F54" s="16">
        <v>89</v>
      </c>
      <c r="G54" s="17">
        <v>88</v>
      </c>
      <c r="H54" s="17">
        <v>86</v>
      </c>
      <c r="I54" s="18">
        <f t="shared" si="1"/>
        <v>88</v>
      </c>
      <c r="J54" s="15" t="s">
        <v>705</v>
      </c>
    </row>
    <row r="55" spans="1:10" ht="33.950000000000003" customHeight="1" x14ac:dyDescent="0.25">
      <c r="A55" s="19">
        <v>54</v>
      </c>
      <c r="B55" s="19" t="s">
        <v>784</v>
      </c>
      <c r="C55" s="19" t="s">
        <v>33</v>
      </c>
      <c r="D55" s="19" t="s">
        <v>785</v>
      </c>
      <c r="E55" s="19" t="s">
        <v>24</v>
      </c>
      <c r="F55" s="20">
        <v>89</v>
      </c>
      <c r="G55" s="21">
        <v>88</v>
      </c>
      <c r="H55" s="21">
        <v>86</v>
      </c>
      <c r="I55" s="22">
        <f t="shared" si="1"/>
        <v>88</v>
      </c>
      <c r="J55" s="19" t="s">
        <v>705</v>
      </c>
    </row>
    <row r="56" spans="1:10" ht="33.950000000000003" customHeight="1" x14ac:dyDescent="0.25">
      <c r="A56" s="15">
        <v>55</v>
      </c>
      <c r="B56" s="15" t="s">
        <v>786</v>
      </c>
      <c r="C56" s="15" t="s">
        <v>33</v>
      </c>
      <c r="D56" s="15" t="s">
        <v>722</v>
      </c>
      <c r="E56" s="15" t="s">
        <v>24</v>
      </c>
      <c r="F56" s="16">
        <v>89</v>
      </c>
      <c r="G56" s="17">
        <v>88</v>
      </c>
      <c r="H56" s="17">
        <v>86</v>
      </c>
      <c r="I56" s="18">
        <f t="shared" si="1"/>
        <v>88</v>
      </c>
      <c r="J56" s="15" t="s">
        <v>705</v>
      </c>
    </row>
    <row r="57" spans="1:10" ht="33.950000000000003" customHeight="1" x14ac:dyDescent="0.25">
      <c r="A57" s="19">
        <v>56</v>
      </c>
      <c r="B57" s="19" t="s">
        <v>787</v>
      </c>
      <c r="C57" s="19" t="s">
        <v>22</v>
      </c>
      <c r="D57" s="19" t="s">
        <v>722</v>
      </c>
      <c r="E57" s="19" t="s">
        <v>24</v>
      </c>
      <c r="F57" s="20">
        <v>89</v>
      </c>
      <c r="G57" s="21">
        <v>88</v>
      </c>
      <c r="H57" s="21">
        <v>86</v>
      </c>
      <c r="I57" s="22">
        <f t="shared" si="1"/>
        <v>88</v>
      </c>
      <c r="J57" s="19" t="s">
        <v>705</v>
      </c>
    </row>
    <row r="58" spans="1:10" ht="33.950000000000003" customHeight="1" x14ac:dyDescent="0.25">
      <c r="A58" s="15">
        <v>57</v>
      </c>
      <c r="B58" s="15" t="s">
        <v>788</v>
      </c>
      <c r="C58" s="15" t="s">
        <v>173</v>
      </c>
      <c r="D58" s="15" t="s">
        <v>789</v>
      </c>
      <c r="E58" s="15" t="s">
        <v>24</v>
      </c>
      <c r="F58" s="16">
        <v>89</v>
      </c>
      <c r="G58" s="17">
        <v>88</v>
      </c>
      <c r="H58" s="17">
        <v>86</v>
      </c>
      <c r="I58" s="18">
        <f t="shared" si="1"/>
        <v>88</v>
      </c>
      <c r="J58" s="15" t="s">
        <v>705</v>
      </c>
    </row>
    <row r="59" spans="1:10" ht="33.950000000000003" customHeight="1" x14ac:dyDescent="0.25">
      <c r="A59" s="19">
        <v>58</v>
      </c>
      <c r="B59" s="19" t="s">
        <v>790</v>
      </c>
      <c r="C59" s="19" t="s">
        <v>33</v>
      </c>
      <c r="D59" s="19" t="s">
        <v>722</v>
      </c>
      <c r="E59" s="19" t="s">
        <v>24</v>
      </c>
      <c r="F59" s="20">
        <v>89</v>
      </c>
      <c r="G59" s="21">
        <v>88</v>
      </c>
      <c r="H59" s="21">
        <v>86</v>
      </c>
      <c r="I59" s="22">
        <f t="shared" si="1"/>
        <v>88</v>
      </c>
      <c r="J59" s="19" t="s">
        <v>705</v>
      </c>
    </row>
    <row r="60" spans="1:10" ht="33.950000000000003" customHeight="1" x14ac:dyDescent="0.25">
      <c r="A60" s="15">
        <v>59</v>
      </c>
      <c r="B60" s="15" t="s">
        <v>525</v>
      </c>
      <c r="C60" s="15" t="s">
        <v>61</v>
      </c>
      <c r="D60" s="15" t="s">
        <v>722</v>
      </c>
      <c r="E60" s="15" t="s">
        <v>24</v>
      </c>
      <c r="F60" s="16">
        <v>89</v>
      </c>
      <c r="G60" s="17">
        <v>88</v>
      </c>
      <c r="H60" s="17">
        <v>86</v>
      </c>
      <c r="I60" s="18">
        <f t="shared" si="1"/>
        <v>88</v>
      </c>
      <c r="J60" s="15" t="s">
        <v>705</v>
      </c>
    </row>
    <row r="61" spans="1:10" ht="33.950000000000003" customHeight="1" x14ac:dyDescent="0.25">
      <c r="A61" s="19">
        <v>60</v>
      </c>
      <c r="B61" s="19" t="s">
        <v>791</v>
      </c>
      <c r="C61" s="19" t="s">
        <v>206</v>
      </c>
      <c r="D61" s="19" t="s">
        <v>792</v>
      </c>
      <c r="E61" s="19" t="s">
        <v>24</v>
      </c>
      <c r="F61" s="20">
        <v>89</v>
      </c>
      <c r="G61" s="21">
        <v>88</v>
      </c>
      <c r="H61" s="21">
        <v>86</v>
      </c>
      <c r="I61" s="22">
        <f t="shared" si="1"/>
        <v>88</v>
      </c>
      <c r="J61" s="19" t="s">
        <v>705</v>
      </c>
    </row>
    <row r="62" spans="1:10" ht="33.950000000000003" customHeight="1" x14ac:dyDescent="0.25">
      <c r="A62" s="15">
        <v>61</v>
      </c>
      <c r="B62" s="15" t="s">
        <v>793</v>
      </c>
      <c r="C62" s="15" t="s">
        <v>43</v>
      </c>
      <c r="D62" s="15" t="s">
        <v>794</v>
      </c>
      <c r="E62" s="15" t="s">
        <v>24</v>
      </c>
      <c r="F62" s="16">
        <v>89</v>
      </c>
      <c r="G62" s="17">
        <v>88</v>
      </c>
      <c r="H62" s="17">
        <v>86</v>
      </c>
      <c r="I62" s="18">
        <f t="shared" si="1"/>
        <v>88</v>
      </c>
      <c r="J62" s="15" t="s">
        <v>705</v>
      </c>
    </row>
    <row r="63" spans="1:10" ht="33.950000000000003" customHeight="1" x14ac:dyDescent="0.25">
      <c r="A63" s="19">
        <v>62</v>
      </c>
      <c r="B63" s="19" t="s">
        <v>175</v>
      </c>
      <c r="C63" s="19" t="s">
        <v>41</v>
      </c>
      <c r="D63" s="19" t="s">
        <v>795</v>
      </c>
      <c r="E63" s="19" t="s">
        <v>24</v>
      </c>
      <c r="F63" s="20">
        <v>89</v>
      </c>
      <c r="G63" s="21">
        <v>88</v>
      </c>
      <c r="H63" s="21">
        <v>86</v>
      </c>
      <c r="I63" s="22">
        <f t="shared" si="1"/>
        <v>88</v>
      </c>
      <c r="J63" s="19" t="s">
        <v>705</v>
      </c>
    </row>
    <row r="64" spans="1:10" ht="33.950000000000003" customHeight="1" x14ac:dyDescent="0.25">
      <c r="A64" s="15">
        <v>63</v>
      </c>
      <c r="B64" s="15" t="s">
        <v>796</v>
      </c>
      <c r="C64" s="15" t="s">
        <v>173</v>
      </c>
      <c r="D64" s="15" t="s">
        <v>797</v>
      </c>
      <c r="E64" s="15" t="s">
        <v>24</v>
      </c>
      <c r="F64" s="16">
        <v>89</v>
      </c>
      <c r="G64" s="17">
        <v>88</v>
      </c>
      <c r="H64" s="17">
        <v>86</v>
      </c>
      <c r="I64" s="18">
        <f t="shared" si="1"/>
        <v>88</v>
      </c>
      <c r="J64" s="15" t="s">
        <v>705</v>
      </c>
    </row>
    <row r="65" spans="1:10" ht="33.950000000000003" customHeight="1" x14ac:dyDescent="0.25">
      <c r="A65" s="19">
        <v>64</v>
      </c>
      <c r="B65" s="19" t="s">
        <v>798</v>
      </c>
      <c r="C65" s="19" t="s">
        <v>93</v>
      </c>
      <c r="D65" s="19" t="s">
        <v>799</v>
      </c>
      <c r="E65" s="19" t="s">
        <v>24</v>
      </c>
      <c r="F65" s="20">
        <v>88</v>
      </c>
      <c r="G65" s="21">
        <v>87</v>
      </c>
      <c r="H65" s="21">
        <v>85</v>
      </c>
      <c r="I65" s="22">
        <f t="shared" si="1"/>
        <v>87</v>
      </c>
      <c r="J65" s="19" t="s">
        <v>705</v>
      </c>
    </row>
    <row r="66" spans="1:10" ht="33.950000000000003" customHeight="1" x14ac:dyDescent="0.25">
      <c r="A66" s="15">
        <v>65</v>
      </c>
      <c r="B66" s="15" t="s">
        <v>247</v>
      </c>
      <c r="C66" s="15" t="s">
        <v>43</v>
      </c>
      <c r="D66" s="15" t="s">
        <v>741</v>
      </c>
      <c r="E66" s="15" t="s">
        <v>24</v>
      </c>
      <c r="F66" s="16">
        <v>88</v>
      </c>
      <c r="G66" s="17">
        <v>87</v>
      </c>
      <c r="H66" s="17">
        <v>85</v>
      </c>
      <c r="I66" s="18">
        <f t="shared" ref="I66:I97" si="2">ROUND(F66*0.55+G66*0.3+H66*0.15,0)</f>
        <v>87</v>
      </c>
      <c r="J66" s="15" t="s">
        <v>705</v>
      </c>
    </row>
    <row r="67" spans="1:10" ht="33.950000000000003" customHeight="1" x14ac:dyDescent="0.25">
      <c r="A67" s="19">
        <v>66</v>
      </c>
      <c r="B67" s="19" t="s">
        <v>800</v>
      </c>
      <c r="C67" s="19" t="s">
        <v>712</v>
      </c>
      <c r="D67" s="19" t="s">
        <v>741</v>
      </c>
      <c r="E67" s="19" t="s">
        <v>24</v>
      </c>
      <c r="F67" s="20">
        <v>88</v>
      </c>
      <c r="G67" s="21">
        <v>87</v>
      </c>
      <c r="H67" s="21">
        <v>85</v>
      </c>
      <c r="I67" s="22">
        <f t="shared" si="2"/>
        <v>87</v>
      </c>
      <c r="J67" s="19" t="s">
        <v>705</v>
      </c>
    </row>
    <row r="68" spans="1:10" ht="33.950000000000003" customHeight="1" x14ac:dyDescent="0.25">
      <c r="A68" s="15">
        <v>67</v>
      </c>
      <c r="B68" s="15" t="s">
        <v>801</v>
      </c>
      <c r="C68" s="15" t="s">
        <v>712</v>
      </c>
      <c r="D68" s="15" t="s">
        <v>741</v>
      </c>
      <c r="E68" s="15" t="s">
        <v>24</v>
      </c>
      <c r="F68" s="16">
        <v>88</v>
      </c>
      <c r="G68" s="17">
        <v>87</v>
      </c>
      <c r="H68" s="17">
        <v>85</v>
      </c>
      <c r="I68" s="18">
        <f t="shared" si="2"/>
        <v>87</v>
      </c>
      <c r="J68" s="15" t="s">
        <v>705</v>
      </c>
    </row>
    <row r="69" spans="1:10" ht="33.950000000000003" customHeight="1" x14ac:dyDescent="0.25">
      <c r="A69" s="19">
        <v>68</v>
      </c>
      <c r="B69" s="19" t="s">
        <v>802</v>
      </c>
      <c r="C69" s="19" t="s">
        <v>803</v>
      </c>
      <c r="D69" s="19" t="s">
        <v>741</v>
      </c>
      <c r="E69" s="19" t="s">
        <v>24</v>
      </c>
      <c r="F69" s="20">
        <v>88</v>
      </c>
      <c r="G69" s="21">
        <v>87</v>
      </c>
      <c r="H69" s="21">
        <v>85</v>
      </c>
      <c r="I69" s="22">
        <f t="shared" si="2"/>
        <v>87</v>
      </c>
      <c r="J69" s="19" t="s">
        <v>705</v>
      </c>
    </row>
    <row r="70" spans="1:10" ht="33.950000000000003" customHeight="1" x14ac:dyDescent="0.25">
      <c r="A70" s="15">
        <v>69</v>
      </c>
      <c r="B70" s="15" t="s">
        <v>804</v>
      </c>
      <c r="C70" s="15" t="s">
        <v>33</v>
      </c>
      <c r="D70" s="15" t="s">
        <v>741</v>
      </c>
      <c r="E70" s="15" t="s">
        <v>24</v>
      </c>
      <c r="F70" s="16">
        <v>88</v>
      </c>
      <c r="G70" s="17">
        <v>87</v>
      </c>
      <c r="H70" s="17">
        <v>85</v>
      </c>
      <c r="I70" s="18">
        <f t="shared" si="2"/>
        <v>87</v>
      </c>
      <c r="J70" s="15" t="s">
        <v>705</v>
      </c>
    </row>
    <row r="71" spans="1:10" ht="33.950000000000003" customHeight="1" x14ac:dyDescent="0.25">
      <c r="A71" s="19">
        <v>70</v>
      </c>
      <c r="B71" s="19" t="s">
        <v>805</v>
      </c>
      <c r="C71" s="19" t="s">
        <v>136</v>
      </c>
      <c r="D71" s="19" t="s">
        <v>806</v>
      </c>
      <c r="E71" s="19" t="s">
        <v>24</v>
      </c>
      <c r="F71" s="20">
        <v>88</v>
      </c>
      <c r="G71" s="21">
        <v>87</v>
      </c>
      <c r="H71" s="21">
        <v>85</v>
      </c>
      <c r="I71" s="22">
        <f t="shared" si="2"/>
        <v>87</v>
      </c>
      <c r="J71" s="19" t="s">
        <v>705</v>
      </c>
    </row>
    <row r="72" spans="1:10" ht="33.950000000000003" customHeight="1" x14ac:dyDescent="0.25">
      <c r="A72" s="15">
        <v>71</v>
      </c>
      <c r="B72" s="15" t="s">
        <v>807</v>
      </c>
      <c r="C72" s="15" t="s">
        <v>37</v>
      </c>
      <c r="D72" s="15" t="s">
        <v>721</v>
      </c>
      <c r="E72" s="15" t="s">
        <v>24</v>
      </c>
      <c r="F72" s="16">
        <v>88</v>
      </c>
      <c r="G72" s="17">
        <v>87</v>
      </c>
      <c r="H72" s="17">
        <v>85</v>
      </c>
      <c r="I72" s="18">
        <f t="shared" si="2"/>
        <v>87</v>
      </c>
      <c r="J72" s="15" t="s">
        <v>705</v>
      </c>
    </row>
    <row r="73" spans="1:10" ht="33.950000000000003" customHeight="1" x14ac:dyDescent="0.25">
      <c r="A73" s="19">
        <v>72</v>
      </c>
      <c r="B73" s="19" t="s">
        <v>808</v>
      </c>
      <c r="C73" s="19" t="s">
        <v>284</v>
      </c>
      <c r="D73" s="19" t="s">
        <v>721</v>
      </c>
      <c r="E73" s="19" t="s">
        <v>24</v>
      </c>
      <c r="F73" s="20">
        <v>88</v>
      </c>
      <c r="G73" s="21">
        <v>87</v>
      </c>
      <c r="H73" s="21">
        <v>85</v>
      </c>
      <c r="I73" s="22">
        <f t="shared" si="2"/>
        <v>87</v>
      </c>
      <c r="J73" s="19" t="s">
        <v>705</v>
      </c>
    </row>
    <row r="74" spans="1:10" ht="33.950000000000003" customHeight="1" x14ac:dyDescent="0.25">
      <c r="A74" s="15">
        <v>73</v>
      </c>
      <c r="B74" s="15" t="s">
        <v>809</v>
      </c>
      <c r="C74" s="15" t="s">
        <v>43</v>
      </c>
      <c r="D74" s="15" t="s">
        <v>721</v>
      </c>
      <c r="E74" s="15" t="s">
        <v>24</v>
      </c>
      <c r="F74" s="16">
        <v>88</v>
      </c>
      <c r="G74" s="17">
        <v>87</v>
      </c>
      <c r="H74" s="17">
        <v>85</v>
      </c>
      <c r="I74" s="18">
        <f t="shared" si="2"/>
        <v>87</v>
      </c>
      <c r="J74" s="15" t="s">
        <v>705</v>
      </c>
    </row>
    <row r="75" spans="1:10" ht="33.950000000000003" customHeight="1" x14ac:dyDescent="0.25">
      <c r="A75" s="19">
        <v>74</v>
      </c>
      <c r="B75" s="19" t="s">
        <v>810</v>
      </c>
      <c r="C75" s="19" t="s">
        <v>93</v>
      </c>
      <c r="D75" s="19" t="s">
        <v>811</v>
      </c>
      <c r="E75" s="19" t="s">
        <v>24</v>
      </c>
      <c r="F75" s="20">
        <v>88</v>
      </c>
      <c r="G75" s="21">
        <v>87</v>
      </c>
      <c r="H75" s="21">
        <v>85</v>
      </c>
      <c r="I75" s="22">
        <f t="shared" si="2"/>
        <v>87</v>
      </c>
      <c r="J75" s="19" t="s">
        <v>705</v>
      </c>
    </row>
    <row r="76" spans="1:10" ht="33.950000000000003" customHeight="1" x14ac:dyDescent="0.25">
      <c r="A76" s="15">
        <v>75</v>
      </c>
      <c r="B76" s="15" t="s">
        <v>812</v>
      </c>
      <c r="C76" s="15" t="s">
        <v>43</v>
      </c>
      <c r="D76" s="15" t="s">
        <v>813</v>
      </c>
      <c r="E76" s="15" t="s">
        <v>24</v>
      </c>
      <c r="F76" s="16">
        <v>88</v>
      </c>
      <c r="G76" s="17">
        <v>87</v>
      </c>
      <c r="H76" s="17">
        <v>85</v>
      </c>
      <c r="I76" s="18">
        <f t="shared" si="2"/>
        <v>87</v>
      </c>
      <c r="J76" s="15" t="s">
        <v>705</v>
      </c>
    </row>
    <row r="77" spans="1:10" ht="33.950000000000003" customHeight="1" x14ac:dyDescent="0.25">
      <c r="A77" s="19">
        <v>76</v>
      </c>
      <c r="B77" s="19" t="s">
        <v>814</v>
      </c>
      <c r="C77" s="19" t="s">
        <v>120</v>
      </c>
      <c r="D77" s="19" t="s">
        <v>815</v>
      </c>
      <c r="E77" s="19" t="s">
        <v>24</v>
      </c>
      <c r="F77" s="20">
        <v>88</v>
      </c>
      <c r="G77" s="21">
        <v>87</v>
      </c>
      <c r="H77" s="21">
        <v>85</v>
      </c>
      <c r="I77" s="22">
        <f t="shared" si="2"/>
        <v>87</v>
      </c>
      <c r="J77" s="19" t="s">
        <v>705</v>
      </c>
    </row>
    <row r="78" spans="1:10" ht="33.950000000000003" customHeight="1" x14ac:dyDescent="0.25">
      <c r="A78" s="15">
        <v>77</v>
      </c>
      <c r="B78" s="15" t="s">
        <v>816</v>
      </c>
      <c r="C78" s="15" t="s">
        <v>53</v>
      </c>
      <c r="D78" s="15" t="s">
        <v>817</v>
      </c>
      <c r="E78" s="15" t="s">
        <v>24</v>
      </c>
      <c r="F78" s="16">
        <v>87</v>
      </c>
      <c r="G78" s="17">
        <v>86</v>
      </c>
      <c r="H78" s="17">
        <v>84</v>
      </c>
      <c r="I78" s="18">
        <f t="shared" si="2"/>
        <v>86</v>
      </c>
      <c r="J78" s="15" t="s">
        <v>705</v>
      </c>
    </row>
    <row r="79" spans="1:10" ht="33.950000000000003" customHeight="1" x14ac:dyDescent="0.25">
      <c r="A79" s="19">
        <v>78</v>
      </c>
      <c r="B79" s="19" t="s">
        <v>818</v>
      </c>
      <c r="C79" s="19" t="s">
        <v>53</v>
      </c>
      <c r="D79" s="19" t="s">
        <v>819</v>
      </c>
      <c r="E79" s="19" t="s">
        <v>24</v>
      </c>
      <c r="F79" s="20">
        <v>87</v>
      </c>
      <c r="G79" s="21">
        <v>86</v>
      </c>
      <c r="H79" s="21">
        <v>84</v>
      </c>
      <c r="I79" s="22">
        <f t="shared" si="2"/>
        <v>86</v>
      </c>
      <c r="J79" s="19" t="s">
        <v>705</v>
      </c>
    </row>
    <row r="80" spans="1:10" ht="33.950000000000003" customHeight="1" x14ac:dyDescent="0.25">
      <c r="A80" s="15">
        <v>79</v>
      </c>
      <c r="B80" s="15" t="s">
        <v>820</v>
      </c>
      <c r="C80" s="15" t="s">
        <v>53</v>
      </c>
      <c r="D80" s="15" t="s">
        <v>821</v>
      </c>
      <c r="E80" s="15" t="s">
        <v>24</v>
      </c>
      <c r="F80" s="16">
        <v>87</v>
      </c>
      <c r="G80" s="17">
        <v>86</v>
      </c>
      <c r="H80" s="17">
        <v>84</v>
      </c>
      <c r="I80" s="18">
        <f t="shared" si="2"/>
        <v>86</v>
      </c>
      <c r="J80" s="15" t="s">
        <v>705</v>
      </c>
    </row>
    <row r="81" spans="1:10" ht="33.950000000000003" customHeight="1" x14ac:dyDescent="0.25">
      <c r="A81" s="19">
        <v>80</v>
      </c>
      <c r="B81" s="19" t="s">
        <v>822</v>
      </c>
      <c r="C81" s="19" t="s">
        <v>53</v>
      </c>
      <c r="D81" s="19" t="s">
        <v>823</v>
      </c>
      <c r="E81" s="19" t="s">
        <v>24</v>
      </c>
      <c r="F81" s="20">
        <v>87</v>
      </c>
      <c r="G81" s="21">
        <v>86</v>
      </c>
      <c r="H81" s="21">
        <v>84</v>
      </c>
      <c r="I81" s="22">
        <f t="shared" si="2"/>
        <v>86</v>
      </c>
      <c r="J81" s="19" t="s">
        <v>705</v>
      </c>
    </row>
    <row r="82" spans="1:10" ht="33.950000000000003" customHeight="1" x14ac:dyDescent="0.25">
      <c r="A82" s="15">
        <v>81</v>
      </c>
      <c r="B82" s="15" t="s">
        <v>824</v>
      </c>
      <c r="C82" s="15" t="s">
        <v>33</v>
      </c>
      <c r="D82" s="15" t="s">
        <v>825</v>
      </c>
      <c r="E82" s="15" t="s">
        <v>24</v>
      </c>
      <c r="F82" s="16">
        <v>86</v>
      </c>
      <c r="G82" s="17">
        <v>86</v>
      </c>
      <c r="H82" s="17">
        <v>92</v>
      </c>
      <c r="I82" s="18">
        <f t="shared" si="2"/>
        <v>87</v>
      </c>
      <c r="J82" s="15" t="s">
        <v>705</v>
      </c>
    </row>
    <row r="83" spans="1:10" ht="33.950000000000003" customHeight="1" x14ac:dyDescent="0.25">
      <c r="A83" s="19">
        <v>82</v>
      </c>
      <c r="B83" s="19" t="s">
        <v>826</v>
      </c>
      <c r="C83" s="19" t="s">
        <v>50</v>
      </c>
      <c r="D83" s="19" t="s">
        <v>827</v>
      </c>
      <c r="E83" s="19" t="s">
        <v>24</v>
      </c>
      <c r="F83" s="20">
        <v>86</v>
      </c>
      <c r="G83" s="21">
        <v>86</v>
      </c>
      <c r="H83" s="21">
        <v>92</v>
      </c>
      <c r="I83" s="22">
        <f t="shared" si="2"/>
        <v>87</v>
      </c>
      <c r="J83" s="19" t="s">
        <v>705</v>
      </c>
    </row>
    <row r="84" spans="1:10" ht="33.950000000000003" customHeight="1" x14ac:dyDescent="0.25">
      <c r="A84" s="15">
        <v>83</v>
      </c>
      <c r="B84" s="15" t="s">
        <v>828</v>
      </c>
      <c r="C84" s="15" t="s">
        <v>486</v>
      </c>
      <c r="D84" s="15" t="s">
        <v>829</v>
      </c>
      <c r="E84" s="15" t="s">
        <v>24</v>
      </c>
      <c r="F84" s="16">
        <v>86</v>
      </c>
      <c r="G84" s="17">
        <v>86</v>
      </c>
      <c r="H84" s="17">
        <v>92</v>
      </c>
      <c r="I84" s="18">
        <f t="shared" si="2"/>
        <v>87</v>
      </c>
      <c r="J84" s="15" t="s">
        <v>705</v>
      </c>
    </row>
    <row r="85" spans="1:10" ht="33.950000000000003" customHeight="1" x14ac:dyDescent="0.25">
      <c r="A85" s="19">
        <v>84</v>
      </c>
      <c r="B85" s="19" t="s">
        <v>830</v>
      </c>
      <c r="C85" s="19" t="s">
        <v>33</v>
      </c>
      <c r="D85" s="19" t="s">
        <v>831</v>
      </c>
      <c r="E85" s="19" t="s">
        <v>24</v>
      </c>
      <c r="F85" s="20">
        <v>86</v>
      </c>
      <c r="G85" s="21">
        <v>86</v>
      </c>
      <c r="H85" s="21">
        <v>92</v>
      </c>
      <c r="I85" s="22">
        <f t="shared" si="2"/>
        <v>87</v>
      </c>
      <c r="J85" s="19" t="s">
        <v>705</v>
      </c>
    </row>
    <row r="86" spans="1:10" ht="33.950000000000003" customHeight="1" x14ac:dyDescent="0.25">
      <c r="A86" s="15">
        <v>85</v>
      </c>
      <c r="B86" s="15" t="s">
        <v>832</v>
      </c>
      <c r="C86" s="15" t="s">
        <v>56</v>
      </c>
      <c r="D86" s="15" t="s">
        <v>833</v>
      </c>
      <c r="E86" s="15" t="s">
        <v>24</v>
      </c>
      <c r="F86" s="16">
        <v>86</v>
      </c>
      <c r="G86" s="17">
        <v>86</v>
      </c>
      <c r="H86" s="17">
        <v>92</v>
      </c>
      <c r="I86" s="18">
        <f t="shared" si="2"/>
        <v>87</v>
      </c>
      <c r="J86" s="15" t="s">
        <v>705</v>
      </c>
    </row>
    <row r="87" spans="1:10" ht="33.950000000000003" customHeight="1" x14ac:dyDescent="0.25">
      <c r="A87" s="19">
        <v>86</v>
      </c>
      <c r="B87" s="19" t="s">
        <v>834</v>
      </c>
      <c r="C87" s="19" t="s">
        <v>33</v>
      </c>
      <c r="D87" s="19" t="s">
        <v>835</v>
      </c>
      <c r="E87" s="19" t="s">
        <v>24</v>
      </c>
      <c r="F87" s="20">
        <v>86</v>
      </c>
      <c r="G87" s="21">
        <v>86</v>
      </c>
      <c r="H87" s="21">
        <v>92</v>
      </c>
      <c r="I87" s="22">
        <f t="shared" si="2"/>
        <v>87</v>
      </c>
      <c r="J87" s="19" t="s">
        <v>705</v>
      </c>
    </row>
    <row r="88" spans="1:10" ht="33.950000000000003" customHeight="1" x14ac:dyDescent="0.25">
      <c r="A88" s="15">
        <v>87</v>
      </c>
      <c r="B88" s="15" t="s">
        <v>836</v>
      </c>
      <c r="C88" s="15" t="s">
        <v>33</v>
      </c>
      <c r="D88" s="15" t="s">
        <v>837</v>
      </c>
      <c r="E88" s="15" t="s">
        <v>24</v>
      </c>
      <c r="F88" s="16">
        <v>86</v>
      </c>
      <c r="G88" s="17">
        <v>86</v>
      </c>
      <c r="H88" s="17">
        <v>92</v>
      </c>
      <c r="I88" s="18">
        <f t="shared" si="2"/>
        <v>87</v>
      </c>
      <c r="J88" s="15" t="s">
        <v>705</v>
      </c>
    </row>
    <row r="89" spans="1:10" ht="33.950000000000003" customHeight="1" x14ac:dyDescent="0.25">
      <c r="A89" s="19">
        <v>88</v>
      </c>
      <c r="B89" s="19" t="s">
        <v>838</v>
      </c>
      <c r="C89" s="19" t="s">
        <v>78</v>
      </c>
      <c r="D89" s="19" t="s">
        <v>839</v>
      </c>
      <c r="E89" s="19" t="s">
        <v>24</v>
      </c>
      <c r="F89" s="20">
        <v>86</v>
      </c>
      <c r="G89" s="21">
        <v>86</v>
      </c>
      <c r="H89" s="21">
        <v>92</v>
      </c>
      <c r="I89" s="22">
        <f t="shared" si="2"/>
        <v>87</v>
      </c>
      <c r="J89" s="19" t="s">
        <v>705</v>
      </c>
    </row>
    <row r="90" spans="1:10" ht="33.950000000000003" customHeight="1" x14ac:dyDescent="0.25">
      <c r="A90" s="15">
        <v>89</v>
      </c>
      <c r="B90" s="15" t="s">
        <v>840</v>
      </c>
      <c r="C90" s="15" t="s">
        <v>43</v>
      </c>
      <c r="D90" s="15" t="s">
        <v>841</v>
      </c>
      <c r="E90" s="15" t="s">
        <v>24</v>
      </c>
      <c r="F90" s="16">
        <v>86</v>
      </c>
      <c r="G90" s="17">
        <v>86</v>
      </c>
      <c r="H90" s="17">
        <v>92</v>
      </c>
      <c r="I90" s="18">
        <f t="shared" si="2"/>
        <v>87</v>
      </c>
      <c r="J90" s="15" t="s">
        <v>705</v>
      </c>
    </row>
    <row r="91" spans="1:10" ht="33.950000000000003" customHeight="1" x14ac:dyDescent="0.25">
      <c r="A91" s="19">
        <v>90</v>
      </c>
      <c r="B91" s="19" t="s">
        <v>842</v>
      </c>
      <c r="C91" s="19" t="s">
        <v>328</v>
      </c>
      <c r="D91" s="19" t="s">
        <v>843</v>
      </c>
      <c r="E91" s="19" t="s">
        <v>24</v>
      </c>
      <c r="F91" s="20">
        <v>85</v>
      </c>
      <c r="G91" s="21">
        <v>85</v>
      </c>
      <c r="H91" s="21">
        <v>91</v>
      </c>
      <c r="I91" s="22">
        <f t="shared" si="2"/>
        <v>86</v>
      </c>
      <c r="J91" s="19" t="s">
        <v>705</v>
      </c>
    </row>
    <row r="92" spans="1:10" ht="33.950000000000003" customHeight="1" x14ac:dyDescent="0.25">
      <c r="A92" s="15">
        <v>91</v>
      </c>
      <c r="B92" s="15" t="s">
        <v>844</v>
      </c>
      <c r="C92" s="15" t="s">
        <v>43</v>
      </c>
      <c r="D92" s="15" t="s">
        <v>845</v>
      </c>
      <c r="E92" s="15" t="s">
        <v>24</v>
      </c>
      <c r="F92" s="16">
        <v>85</v>
      </c>
      <c r="G92" s="17">
        <v>85</v>
      </c>
      <c r="H92" s="17">
        <v>91</v>
      </c>
      <c r="I92" s="18">
        <f t="shared" si="2"/>
        <v>86</v>
      </c>
      <c r="J92" s="15" t="s">
        <v>705</v>
      </c>
    </row>
    <row r="93" spans="1:10" ht="33.950000000000003" customHeight="1" x14ac:dyDescent="0.25">
      <c r="A93" s="19">
        <v>92</v>
      </c>
      <c r="B93" s="19" t="s">
        <v>846</v>
      </c>
      <c r="C93" s="19" t="s">
        <v>43</v>
      </c>
      <c r="D93" s="19" t="s">
        <v>847</v>
      </c>
      <c r="E93" s="19" t="s">
        <v>24</v>
      </c>
      <c r="F93" s="20">
        <v>85</v>
      </c>
      <c r="G93" s="21">
        <v>85</v>
      </c>
      <c r="H93" s="21">
        <v>91</v>
      </c>
      <c r="I93" s="22">
        <f t="shared" si="2"/>
        <v>86</v>
      </c>
      <c r="J93" s="19" t="s">
        <v>705</v>
      </c>
    </row>
    <row r="94" spans="1:10" ht="33.950000000000003" customHeight="1" x14ac:dyDescent="0.25">
      <c r="A94" s="15">
        <v>93</v>
      </c>
      <c r="B94" s="15" t="s">
        <v>848</v>
      </c>
      <c r="C94" s="15" t="s">
        <v>43</v>
      </c>
      <c r="D94" s="15" t="s">
        <v>849</v>
      </c>
      <c r="E94" s="15" t="s">
        <v>24</v>
      </c>
      <c r="F94" s="16">
        <v>85</v>
      </c>
      <c r="G94" s="17">
        <v>85</v>
      </c>
      <c r="H94" s="17">
        <v>91</v>
      </c>
      <c r="I94" s="18">
        <f t="shared" si="2"/>
        <v>86</v>
      </c>
      <c r="J94" s="15" t="s">
        <v>705</v>
      </c>
    </row>
    <row r="95" spans="1:10" ht="33.950000000000003" customHeight="1" x14ac:dyDescent="0.25">
      <c r="A95" s="19">
        <v>94</v>
      </c>
      <c r="B95" s="19" t="s">
        <v>850</v>
      </c>
      <c r="C95" s="19" t="s">
        <v>43</v>
      </c>
      <c r="D95" s="19" t="s">
        <v>851</v>
      </c>
      <c r="E95" s="19" t="s">
        <v>24</v>
      </c>
      <c r="F95" s="20">
        <v>85</v>
      </c>
      <c r="G95" s="21">
        <v>85</v>
      </c>
      <c r="H95" s="21">
        <v>91</v>
      </c>
      <c r="I95" s="22">
        <f t="shared" si="2"/>
        <v>86</v>
      </c>
      <c r="J95" s="19" t="s">
        <v>705</v>
      </c>
    </row>
    <row r="96" spans="1:10" ht="33.950000000000003" customHeight="1" x14ac:dyDescent="0.25">
      <c r="A96" s="15">
        <v>95</v>
      </c>
      <c r="B96" s="15" t="s">
        <v>852</v>
      </c>
      <c r="C96" s="15" t="s">
        <v>43</v>
      </c>
      <c r="D96" s="15" t="s">
        <v>708</v>
      </c>
      <c r="E96" s="15" t="s">
        <v>24</v>
      </c>
      <c r="F96" s="16">
        <v>85</v>
      </c>
      <c r="G96" s="17">
        <v>85</v>
      </c>
      <c r="H96" s="17">
        <v>91</v>
      </c>
      <c r="I96" s="18">
        <f t="shared" si="2"/>
        <v>86</v>
      </c>
      <c r="J96" s="15" t="s">
        <v>705</v>
      </c>
    </row>
    <row r="97" spans="1:10" ht="33.950000000000003" customHeight="1" x14ac:dyDescent="0.25">
      <c r="A97" s="19">
        <v>96</v>
      </c>
      <c r="B97" s="19" t="s">
        <v>853</v>
      </c>
      <c r="C97" s="19" t="s">
        <v>43</v>
      </c>
      <c r="D97" s="19" t="s">
        <v>854</v>
      </c>
      <c r="E97" s="19" t="s">
        <v>24</v>
      </c>
      <c r="F97" s="20">
        <v>85</v>
      </c>
      <c r="G97" s="21">
        <v>85</v>
      </c>
      <c r="H97" s="21">
        <v>91</v>
      </c>
      <c r="I97" s="22">
        <f t="shared" si="2"/>
        <v>86</v>
      </c>
      <c r="J97" s="19" t="s">
        <v>705</v>
      </c>
    </row>
    <row r="98" spans="1:10" ht="33.950000000000003" customHeight="1" x14ac:dyDescent="0.25">
      <c r="A98" s="15">
        <v>97</v>
      </c>
      <c r="B98" s="15" t="s">
        <v>855</v>
      </c>
      <c r="C98" s="15" t="s">
        <v>43</v>
      </c>
      <c r="D98" s="15" t="s">
        <v>856</v>
      </c>
      <c r="E98" s="15" t="s">
        <v>24</v>
      </c>
      <c r="F98" s="16">
        <v>85</v>
      </c>
      <c r="G98" s="17">
        <v>85</v>
      </c>
      <c r="H98" s="17">
        <v>91</v>
      </c>
      <c r="I98" s="18">
        <f t="shared" ref="I98:I129" si="3">ROUND(F98*0.55+G98*0.3+H98*0.15,0)</f>
        <v>86</v>
      </c>
      <c r="J98" s="15" t="s">
        <v>705</v>
      </c>
    </row>
    <row r="99" spans="1:10" ht="33.950000000000003" customHeight="1" x14ac:dyDescent="0.25">
      <c r="A99" s="19">
        <v>98</v>
      </c>
      <c r="B99" s="19" t="s">
        <v>857</v>
      </c>
      <c r="C99" s="19" t="s">
        <v>43</v>
      </c>
      <c r="D99" s="19" t="s">
        <v>858</v>
      </c>
      <c r="E99" s="19" t="s">
        <v>24</v>
      </c>
      <c r="F99" s="20">
        <v>85</v>
      </c>
      <c r="G99" s="21">
        <v>85</v>
      </c>
      <c r="H99" s="21">
        <v>91</v>
      </c>
      <c r="I99" s="22">
        <f t="shared" si="3"/>
        <v>86</v>
      </c>
      <c r="J99" s="19" t="s">
        <v>705</v>
      </c>
    </row>
    <row r="100" spans="1:10" ht="33.950000000000003" customHeight="1" x14ac:dyDescent="0.25">
      <c r="A100" s="15">
        <v>99</v>
      </c>
      <c r="B100" s="15" t="s">
        <v>859</v>
      </c>
      <c r="C100" s="15" t="s">
        <v>43</v>
      </c>
      <c r="D100" s="15" t="s">
        <v>860</v>
      </c>
      <c r="E100" s="15" t="s">
        <v>24</v>
      </c>
      <c r="F100" s="16">
        <v>85</v>
      </c>
      <c r="G100" s="17">
        <v>85</v>
      </c>
      <c r="H100" s="17">
        <v>91</v>
      </c>
      <c r="I100" s="18">
        <f t="shared" si="3"/>
        <v>86</v>
      </c>
      <c r="J100" s="15" t="s">
        <v>705</v>
      </c>
    </row>
    <row r="101" spans="1:10" ht="33.950000000000003" customHeight="1" x14ac:dyDescent="0.25">
      <c r="A101" s="19">
        <v>100</v>
      </c>
      <c r="B101" s="19" t="s">
        <v>861</v>
      </c>
      <c r="C101" s="19" t="s">
        <v>328</v>
      </c>
      <c r="D101" s="19" t="s">
        <v>862</v>
      </c>
      <c r="E101" s="19" t="s">
        <v>24</v>
      </c>
      <c r="F101" s="20">
        <v>85</v>
      </c>
      <c r="G101" s="21">
        <v>85</v>
      </c>
      <c r="H101" s="21">
        <v>91</v>
      </c>
      <c r="I101" s="22">
        <f t="shared" si="3"/>
        <v>86</v>
      </c>
      <c r="J101" s="19" t="s">
        <v>705</v>
      </c>
    </row>
    <row r="102" spans="1:10" ht="33.950000000000003" customHeight="1" x14ac:dyDescent="0.25">
      <c r="A102" s="15">
        <v>101</v>
      </c>
      <c r="B102" s="15" t="s">
        <v>863</v>
      </c>
      <c r="C102" s="15" t="s">
        <v>43</v>
      </c>
      <c r="D102" s="15" t="s">
        <v>864</v>
      </c>
      <c r="E102" s="15" t="s">
        <v>24</v>
      </c>
      <c r="F102" s="16">
        <v>84</v>
      </c>
      <c r="G102" s="17">
        <v>84</v>
      </c>
      <c r="H102" s="17">
        <v>90</v>
      </c>
      <c r="I102" s="18">
        <f t="shared" si="3"/>
        <v>85</v>
      </c>
      <c r="J102" s="15" t="s">
        <v>705</v>
      </c>
    </row>
    <row r="103" spans="1:10" ht="33.950000000000003" customHeight="1" x14ac:dyDescent="0.25">
      <c r="A103" s="19">
        <v>102</v>
      </c>
      <c r="B103" s="19" t="s">
        <v>865</v>
      </c>
      <c r="C103" s="19" t="s">
        <v>22</v>
      </c>
      <c r="D103" s="19" t="s">
        <v>866</v>
      </c>
      <c r="E103" s="19" t="s">
        <v>24</v>
      </c>
      <c r="F103" s="20">
        <v>84</v>
      </c>
      <c r="G103" s="21">
        <v>84</v>
      </c>
      <c r="H103" s="21">
        <v>90</v>
      </c>
      <c r="I103" s="22">
        <f t="shared" si="3"/>
        <v>85</v>
      </c>
      <c r="J103" s="19" t="s">
        <v>705</v>
      </c>
    </row>
    <row r="104" spans="1:10" ht="33.950000000000003" customHeight="1" x14ac:dyDescent="0.25">
      <c r="A104" s="15">
        <v>103</v>
      </c>
      <c r="B104" s="15" t="s">
        <v>867</v>
      </c>
      <c r="C104" s="15" t="s">
        <v>61</v>
      </c>
      <c r="D104" s="15" t="s">
        <v>868</v>
      </c>
      <c r="E104" s="15" t="s">
        <v>24</v>
      </c>
      <c r="F104" s="16">
        <v>84</v>
      </c>
      <c r="G104" s="17">
        <v>84</v>
      </c>
      <c r="H104" s="17">
        <v>90</v>
      </c>
      <c r="I104" s="18">
        <f t="shared" si="3"/>
        <v>85</v>
      </c>
      <c r="J104" s="15" t="s">
        <v>705</v>
      </c>
    </row>
    <row r="105" spans="1:10" ht="33.950000000000003" customHeight="1" x14ac:dyDescent="0.25">
      <c r="A105" s="19">
        <v>104</v>
      </c>
      <c r="B105" s="19" t="s">
        <v>869</v>
      </c>
      <c r="C105" s="19" t="s">
        <v>43</v>
      </c>
      <c r="D105" s="19" t="s">
        <v>870</v>
      </c>
      <c r="E105" s="19" t="s">
        <v>24</v>
      </c>
      <c r="F105" s="20">
        <v>84</v>
      </c>
      <c r="G105" s="21">
        <v>84</v>
      </c>
      <c r="H105" s="21">
        <v>90</v>
      </c>
      <c r="I105" s="22">
        <f t="shared" si="3"/>
        <v>85</v>
      </c>
      <c r="J105" s="19" t="s">
        <v>705</v>
      </c>
    </row>
    <row r="106" spans="1:10" ht="33.950000000000003" customHeight="1" x14ac:dyDescent="0.25">
      <c r="A106" s="15">
        <v>105</v>
      </c>
      <c r="B106" s="15" t="s">
        <v>871</v>
      </c>
      <c r="C106" s="15" t="s">
        <v>43</v>
      </c>
      <c r="D106" s="15" t="s">
        <v>872</v>
      </c>
      <c r="E106" s="15" t="s">
        <v>24</v>
      </c>
      <c r="F106" s="16">
        <v>84</v>
      </c>
      <c r="G106" s="17">
        <v>84</v>
      </c>
      <c r="H106" s="17">
        <v>90</v>
      </c>
      <c r="I106" s="18">
        <f t="shared" si="3"/>
        <v>85</v>
      </c>
      <c r="J106" s="15" t="s">
        <v>705</v>
      </c>
    </row>
    <row r="107" spans="1:10" ht="33.950000000000003" customHeight="1" x14ac:dyDescent="0.25">
      <c r="A107" s="19">
        <v>106</v>
      </c>
      <c r="B107" s="19" t="s">
        <v>873</v>
      </c>
      <c r="C107" s="19" t="s">
        <v>43</v>
      </c>
      <c r="D107" s="19" t="s">
        <v>874</v>
      </c>
      <c r="E107" s="19" t="s">
        <v>24</v>
      </c>
      <c r="F107" s="20">
        <v>84</v>
      </c>
      <c r="G107" s="21">
        <v>84</v>
      </c>
      <c r="H107" s="21">
        <v>90</v>
      </c>
      <c r="I107" s="22">
        <f t="shared" si="3"/>
        <v>85</v>
      </c>
      <c r="J107" s="19" t="s">
        <v>705</v>
      </c>
    </row>
    <row r="108" spans="1:10" ht="33.950000000000003" customHeight="1" x14ac:dyDescent="0.25">
      <c r="A108" s="15">
        <v>107</v>
      </c>
      <c r="B108" s="15" t="s">
        <v>875</v>
      </c>
      <c r="C108" s="15" t="s">
        <v>43</v>
      </c>
      <c r="D108" s="15" t="s">
        <v>876</v>
      </c>
      <c r="E108" s="15" t="s">
        <v>24</v>
      </c>
      <c r="F108" s="16">
        <v>84</v>
      </c>
      <c r="G108" s="17">
        <v>84</v>
      </c>
      <c r="H108" s="17">
        <v>90</v>
      </c>
      <c r="I108" s="18">
        <f t="shared" si="3"/>
        <v>85</v>
      </c>
      <c r="J108" s="15" t="s">
        <v>705</v>
      </c>
    </row>
    <row r="109" spans="1:10" ht="33.950000000000003" customHeight="1" x14ac:dyDescent="0.25">
      <c r="A109" s="19">
        <v>108</v>
      </c>
      <c r="B109" s="19" t="s">
        <v>877</v>
      </c>
      <c r="C109" s="19" t="s">
        <v>35</v>
      </c>
      <c r="D109" s="19" t="s">
        <v>878</v>
      </c>
      <c r="E109" s="19" t="s">
        <v>24</v>
      </c>
      <c r="F109" s="20">
        <v>84</v>
      </c>
      <c r="G109" s="21">
        <v>84</v>
      </c>
      <c r="H109" s="21">
        <v>90</v>
      </c>
      <c r="I109" s="22">
        <f t="shared" si="3"/>
        <v>85</v>
      </c>
      <c r="J109" s="19" t="s">
        <v>705</v>
      </c>
    </row>
    <row r="110" spans="1:10" ht="33.950000000000003" customHeight="1" x14ac:dyDescent="0.25">
      <c r="A110" s="15">
        <v>109</v>
      </c>
      <c r="B110" s="15" t="s">
        <v>879</v>
      </c>
      <c r="C110" s="15" t="s">
        <v>43</v>
      </c>
      <c r="D110" s="15" t="s">
        <v>880</v>
      </c>
      <c r="E110" s="15" t="s">
        <v>24</v>
      </c>
      <c r="F110" s="16">
        <v>84</v>
      </c>
      <c r="G110" s="17">
        <v>84</v>
      </c>
      <c r="H110" s="17">
        <v>90</v>
      </c>
      <c r="I110" s="18">
        <f t="shared" si="3"/>
        <v>85</v>
      </c>
      <c r="J110" s="15" t="s">
        <v>705</v>
      </c>
    </row>
    <row r="111" spans="1:10" ht="33.950000000000003" customHeight="1" x14ac:dyDescent="0.25">
      <c r="A111" s="19">
        <v>110</v>
      </c>
      <c r="B111" s="19" t="s">
        <v>881</v>
      </c>
      <c r="C111" s="19" t="s">
        <v>120</v>
      </c>
      <c r="D111" s="19" t="s">
        <v>868</v>
      </c>
      <c r="E111" s="19" t="s">
        <v>24</v>
      </c>
      <c r="F111" s="20">
        <v>84</v>
      </c>
      <c r="G111" s="21">
        <v>84</v>
      </c>
      <c r="H111" s="21">
        <v>90</v>
      </c>
      <c r="I111" s="22">
        <f t="shared" si="3"/>
        <v>85</v>
      </c>
      <c r="J111" s="19" t="s">
        <v>705</v>
      </c>
    </row>
    <row r="112" spans="1:10" ht="33.950000000000003" customHeight="1" x14ac:dyDescent="0.25">
      <c r="A112" s="15">
        <v>111</v>
      </c>
      <c r="B112" s="15" t="s">
        <v>882</v>
      </c>
      <c r="C112" s="15" t="s">
        <v>192</v>
      </c>
      <c r="D112" s="15" t="s">
        <v>883</v>
      </c>
      <c r="E112" s="15" t="s">
        <v>24</v>
      </c>
      <c r="F112" s="16">
        <v>84</v>
      </c>
      <c r="G112" s="17">
        <v>84</v>
      </c>
      <c r="H112" s="17">
        <v>90</v>
      </c>
      <c r="I112" s="18">
        <f t="shared" si="3"/>
        <v>85</v>
      </c>
      <c r="J112" s="15" t="s">
        <v>705</v>
      </c>
    </row>
    <row r="113" spans="1:10" ht="33.950000000000003" customHeight="1" x14ac:dyDescent="0.25">
      <c r="A113" s="19">
        <v>112</v>
      </c>
      <c r="B113" s="19" t="s">
        <v>884</v>
      </c>
      <c r="C113" s="19" t="s">
        <v>43</v>
      </c>
      <c r="D113" s="19" t="s">
        <v>885</v>
      </c>
      <c r="E113" s="19" t="s">
        <v>24</v>
      </c>
      <c r="F113" s="20">
        <v>84</v>
      </c>
      <c r="G113" s="21">
        <v>84</v>
      </c>
      <c r="H113" s="21">
        <v>90</v>
      </c>
      <c r="I113" s="22">
        <f t="shared" si="3"/>
        <v>85</v>
      </c>
      <c r="J113" s="19" t="s">
        <v>705</v>
      </c>
    </row>
    <row r="114" spans="1:10" ht="33.950000000000003" customHeight="1" x14ac:dyDescent="0.25">
      <c r="A114" s="15">
        <v>113</v>
      </c>
      <c r="B114" s="15" t="s">
        <v>886</v>
      </c>
      <c r="C114" s="15" t="s">
        <v>43</v>
      </c>
      <c r="D114" s="15" t="s">
        <v>887</v>
      </c>
      <c r="E114" s="15" t="s">
        <v>24</v>
      </c>
      <c r="F114" s="16">
        <v>84</v>
      </c>
      <c r="G114" s="17">
        <v>84</v>
      </c>
      <c r="H114" s="17">
        <v>90</v>
      </c>
      <c r="I114" s="18">
        <f t="shared" si="3"/>
        <v>85</v>
      </c>
      <c r="J114" s="15" t="s">
        <v>705</v>
      </c>
    </row>
    <row r="115" spans="1:10" ht="33.950000000000003" customHeight="1" x14ac:dyDescent="0.25">
      <c r="A115" s="19">
        <v>114</v>
      </c>
      <c r="B115" s="19" t="s">
        <v>888</v>
      </c>
      <c r="C115" s="19" t="s">
        <v>43</v>
      </c>
      <c r="D115" s="19" t="s">
        <v>889</v>
      </c>
      <c r="E115" s="19" t="s">
        <v>24</v>
      </c>
      <c r="F115" s="20">
        <v>84</v>
      </c>
      <c r="G115" s="21">
        <v>84</v>
      </c>
      <c r="H115" s="21">
        <v>90</v>
      </c>
      <c r="I115" s="22">
        <f t="shared" si="3"/>
        <v>85</v>
      </c>
      <c r="J115" s="19" t="s">
        <v>705</v>
      </c>
    </row>
    <row r="116" spans="1:10" ht="33.950000000000003" customHeight="1" x14ac:dyDescent="0.25">
      <c r="A116" s="15">
        <v>115</v>
      </c>
      <c r="B116" s="15" t="s">
        <v>890</v>
      </c>
      <c r="C116" s="15" t="s">
        <v>43</v>
      </c>
      <c r="D116" s="15" t="s">
        <v>891</v>
      </c>
      <c r="E116" s="15" t="s">
        <v>24</v>
      </c>
      <c r="F116" s="16">
        <v>84</v>
      </c>
      <c r="G116" s="17">
        <v>84</v>
      </c>
      <c r="H116" s="17">
        <v>90</v>
      </c>
      <c r="I116" s="18">
        <f t="shared" si="3"/>
        <v>85</v>
      </c>
      <c r="J116" s="15" t="s">
        <v>705</v>
      </c>
    </row>
    <row r="117" spans="1:10" ht="33.950000000000003" customHeight="1" x14ac:dyDescent="0.25">
      <c r="A117" s="19">
        <v>116</v>
      </c>
      <c r="B117" s="19" t="s">
        <v>892</v>
      </c>
      <c r="C117" s="19" t="s">
        <v>43</v>
      </c>
      <c r="D117" s="19" t="s">
        <v>893</v>
      </c>
      <c r="E117" s="19" t="s">
        <v>24</v>
      </c>
      <c r="F117" s="20">
        <v>84</v>
      </c>
      <c r="G117" s="21">
        <v>84</v>
      </c>
      <c r="H117" s="21">
        <v>90</v>
      </c>
      <c r="I117" s="22">
        <f t="shared" si="3"/>
        <v>85</v>
      </c>
      <c r="J117" s="19" t="s">
        <v>705</v>
      </c>
    </row>
    <row r="118" spans="1:10" ht="33.950000000000003" customHeight="1" x14ac:dyDescent="0.25">
      <c r="A118" s="15">
        <v>117</v>
      </c>
      <c r="B118" s="15" t="s">
        <v>894</v>
      </c>
      <c r="C118" s="15" t="s">
        <v>43</v>
      </c>
      <c r="D118" s="15" t="s">
        <v>895</v>
      </c>
      <c r="E118" s="15" t="s">
        <v>24</v>
      </c>
      <c r="F118" s="16">
        <v>84</v>
      </c>
      <c r="G118" s="17">
        <v>84</v>
      </c>
      <c r="H118" s="17">
        <v>90</v>
      </c>
      <c r="I118" s="18">
        <f t="shared" si="3"/>
        <v>85</v>
      </c>
      <c r="J118" s="15" t="s">
        <v>705</v>
      </c>
    </row>
    <row r="119" spans="1:10" ht="33.950000000000003" customHeight="1" x14ac:dyDescent="0.25">
      <c r="A119" s="19">
        <v>118</v>
      </c>
      <c r="B119" s="19" t="s">
        <v>896</v>
      </c>
      <c r="C119" s="19" t="s">
        <v>43</v>
      </c>
      <c r="D119" s="19" t="s">
        <v>897</v>
      </c>
      <c r="E119" s="19" t="s">
        <v>24</v>
      </c>
      <c r="F119" s="20">
        <v>83</v>
      </c>
      <c r="G119" s="21">
        <v>83</v>
      </c>
      <c r="H119" s="21">
        <v>89</v>
      </c>
      <c r="I119" s="22">
        <f t="shared" si="3"/>
        <v>84</v>
      </c>
      <c r="J119" s="19" t="s">
        <v>705</v>
      </c>
    </row>
    <row r="120" spans="1:10" ht="33.950000000000003" customHeight="1" x14ac:dyDescent="0.25">
      <c r="A120" s="15">
        <v>119</v>
      </c>
      <c r="B120" s="15" t="s">
        <v>898</v>
      </c>
      <c r="C120" s="15" t="s">
        <v>50</v>
      </c>
      <c r="D120" s="15" t="s">
        <v>899</v>
      </c>
      <c r="E120" s="15" t="s">
        <v>24</v>
      </c>
      <c r="F120" s="16">
        <v>83</v>
      </c>
      <c r="G120" s="17">
        <v>83</v>
      </c>
      <c r="H120" s="17">
        <v>89</v>
      </c>
      <c r="I120" s="18">
        <f t="shared" si="3"/>
        <v>84</v>
      </c>
      <c r="J120" s="15" t="s">
        <v>705</v>
      </c>
    </row>
    <row r="121" spans="1:10" ht="33.950000000000003" customHeight="1" x14ac:dyDescent="0.25">
      <c r="A121" s="19">
        <v>120</v>
      </c>
      <c r="B121" s="19" t="s">
        <v>900</v>
      </c>
      <c r="C121" s="19" t="s">
        <v>50</v>
      </c>
      <c r="D121" s="19" t="s">
        <v>729</v>
      </c>
      <c r="E121" s="19" t="s">
        <v>24</v>
      </c>
      <c r="F121" s="20">
        <v>83</v>
      </c>
      <c r="G121" s="21">
        <v>83</v>
      </c>
      <c r="H121" s="21">
        <v>89</v>
      </c>
      <c r="I121" s="22">
        <f t="shared" si="3"/>
        <v>84</v>
      </c>
      <c r="J121" s="19" t="s">
        <v>705</v>
      </c>
    </row>
    <row r="122" spans="1:10" ht="33.950000000000003" customHeight="1" x14ac:dyDescent="0.25">
      <c r="A122" s="15">
        <v>121</v>
      </c>
      <c r="B122" s="15" t="s">
        <v>901</v>
      </c>
      <c r="C122" s="15" t="s">
        <v>50</v>
      </c>
      <c r="D122" s="15" t="s">
        <v>902</v>
      </c>
      <c r="E122" s="15" t="s">
        <v>24</v>
      </c>
      <c r="F122" s="16">
        <v>83</v>
      </c>
      <c r="G122" s="17">
        <v>83</v>
      </c>
      <c r="H122" s="17">
        <v>89</v>
      </c>
      <c r="I122" s="18">
        <f t="shared" si="3"/>
        <v>84</v>
      </c>
      <c r="J122" s="15" t="s">
        <v>705</v>
      </c>
    </row>
    <row r="123" spans="1:10" ht="33.950000000000003" customHeight="1" x14ac:dyDescent="0.25">
      <c r="A123" s="19">
        <v>122</v>
      </c>
      <c r="B123" s="19" t="s">
        <v>903</v>
      </c>
      <c r="C123" s="19" t="s">
        <v>22</v>
      </c>
      <c r="D123" s="19" t="s">
        <v>729</v>
      </c>
      <c r="E123" s="19" t="s">
        <v>24</v>
      </c>
      <c r="F123" s="20">
        <v>83</v>
      </c>
      <c r="G123" s="21">
        <v>83</v>
      </c>
      <c r="H123" s="21">
        <v>89</v>
      </c>
      <c r="I123" s="22">
        <f t="shared" si="3"/>
        <v>84</v>
      </c>
      <c r="J123" s="19" t="s">
        <v>705</v>
      </c>
    </row>
    <row r="124" spans="1:10" ht="33.950000000000003" customHeight="1" x14ac:dyDescent="0.25">
      <c r="A124" s="15">
        <v>123</v>
      </c>
      <c r="B124" s="15" t="s">
        <v>904</v>
      </c>
      <c r="C124" s="15" t="s">
        <v>120</v>
      </c>
      <c r="D124" s="15" t="s">
        <v>905</v>
      </c>
      <c r="E124" s="15" t="s">
        <v>24</v>
      </c>
      <c r="F124" s="16">
        <v>83</v>
      </c>
      <c r="G124" s="17">
        <v>83</v>
      </c>
      <c r="H124" s="17">
        <v>89</v>
      </c>
      <c r="I124" s="18">
        <f t="shared" si="3"/>
        <v>84</v>
      </c>
      <c r="J124" s="15" t="s">
        <v>705</v>
      </c>
    </row>
    <row r="125" spans="1:10" ht="33.950000000000003" customHeight="1" x14ac:dyDescent="0.25">
      <c r="A125" s="19">
        <v>124</v>
      </c>
      <c r="B125" s="19" t="s">
        <v>906</v>
      </c>
      <c r="C125" s="19" t="s">
        <v>43</v>
      </c>
      <c r="D125" s="19" t="s">
        <v>907</v>
      </c>
      <c r="E125" s="19" t="s">
        <v>24</v>
      </c>
      <c r="F125" s="20">
        <v>83</v>
      </c>
      <c r="G125" s="21">
        <v>83</v>
      </c>
      <c r="H125" s="21">
        <v>89</v>
      </c>
      <c r="I125" s="22">
        <f t="shared" si="3"/>
        <v>84</v>
      </c>
      <c r="J125" s="19" t="s">
        <v>705</v>
      </c>
    </row>
    <row r="126" spans="1:10" ht="33.950000000000003" customHeight="1" x14ac:dyDescent="0.25">
      <c r="A126" s="15">
        <v>125</v>
      </c>
      <c r="B126" s="15" t="s">
        <v>908</v>
      </c>
      <c r="C126" s="15" t="s">
        <v>712</v>
      </c>
      <c r="D126" s="15" t="s">
        <v>909</v>
      </c>
      <c r="E126" s="15" t="s">
        <v>24</v>
      </c>
      <c r="F126" s="16">
        <v>83</v>
      </c>
      <c r="G126" s="17">
        <v>83</v>
      </c>
      <c r="H126" s="17">
        <v>89</v>
      </c>
      <c r="I126" s="18">
        <f t="shared" si="3"/>
        <v>84</v>
      </c>
      <c r="J126" s="15" t="s">
        <v>705</v>
      </c>
    </row>
    <row r="127" spans="1:10" ht="33.950000000000003" customHeight="1" x14ac:dyDescent="0.25">
      <c r="A127" s="19">
        <v>126</v>
      </c>
      <c r="B127" s="19" t="s">
        <v>910</v>
      </c>
      <c r="C127" s="19" t="s">
        <v>43</v>
      </c>
      <c r="D127" s="19" t="s">
        <v>911</v>
      </c>
      <c r="E127" s="19" t="s">
        <v>24</v>
      </c>
      <c r="F127" s="20">
        <v>83</v>
      </c>
      <c r="G127" s="21">
        <v>83</v>
      </c>
      <c r="H127" s="21">
        <v>89</v>
      </c>
      <c r="I127" s="22">
        <f t="shared" si="3"/>
        <v>84</v>
      </c>
      <c r="J127" s="19" t="s">
        <v>705</v>
      </c>
    </row>
    <row r="128" spans="1:10" ht="33.950000000000003" customHeight="1" x14ac:dyDescent="0.25">
      <c r="A128" s="15">
        <v>127</v>
      </c>
      <c r="B128" s="15" t="s">
        <v>912</v>
      </c>
      <c r="C128" s="15" t="s">
        <v>120</v>
      </c>
      <c r="D128" s="15" t="s">
        <v>746</v>
      </c>
      <c r="E128" s="15" t="s">
        <v>24</v>
      </c>
      <c r="F128" s="16">
        <v>83</v>
      </c>
      <c r="G128" s="17">
        <v>83</v>
      </c>
      <c r="H128" s="17">
        <v>89</v>
      </c>
      <c r="I128" s="18">
        <f t="shared" si="3"/>
        <v>84</v>
      </c>
      <c r="J128" s="15" t="s">
        <v>705</v>
      </c>
    </row>
    <row r="129" spans="1:10" ht="33.950000000000003" customHeight="1" x14ac:dyDescent="0.25">
      <c r="A129" s="19">
        <v>128</v>
      </c>
      <c r="B129" s="19" t="s">
        <v>913</v>
      </c>
      <c r="C129" s="19" t="s">
        <v>33</v>
      </c>
      <c r="D129" s="19" t="s">
        <v>914</v>
      </c>
      <c r="E129" s="19" t="s">
        <v>24</v>
      </c>
      <c r="F129" s="20">
        <v>83</v>
      </c>
      <c r="G129" s="21">
        <v>83</v>
      </c>
      <c r="H129" s="21">
        <v>89</v>
      </c>
      <c r="I129" s="22">
        <f t="shared" si="3"/>
        <v>84</v>
      </c>
      <c r="J129" s="19" t="s">
        <v>705</v>
      </c>
    </row>
    <row r="130" spans="1:10" ht="33.950000000000003" customHeight="1" x14ac:dyDescent="0.25">
      <c r="A130" s="15">
        <v>129</v>
      </c>
      <c r="B130" s="15" t="s">
        <v>915</v>
      </c>
      <c r="C130" s="15" t="s">
        <v>56</v>
      </c>
      <c r="D130" s="15" t="s">
        <v>916</v>
      </c>
      <c r="E130" s="15" t="s">
        <v>24</v>
      </c>
      <c r="F130" s="16">
        <v>83</v>
      </c>
      <c r="G130" s="17">
        <v>83</v>
      </c>
      <c r="H130" s="17">
        <v>89</v>
      </c>
      <c r="I130" s="18">
        <f t="shared" ref="I130:I161" si="4">ROUND(F130*0.55+G130*0.3+H130*0.15,0)</f>
        <v>84</v>
      </c>
      <c r="J130" s="15" t="s">
        <v>705</v>
      </c>
    </row>
    <row r="131" spans="1:10" ht="33.950000000000003" customHeight="1" x14ac:dyDescent="0.25">
      <c r="A131" s="19">
        <v>130</v>
      </c>
      <c r="B131" s="19" t="s">
        <v>917</v>
      </c>
      <c r="C131" s="19" t="s">
        <v>50</v>
      </c>
      <c r="D131" s="19" t="s">
        <v>721</v>
      </c>
      <c r="E131" s="19" t="s">
        <v>24</v>
      </c>
      <c r="F131" s="20">
        <v>83</v>
      </c>
      <c r="G131" s="21">
        <v>83</v>
      </c>
      <c r="H131" s="21">
        <v>89</v>
      </c>
      <c r="I131" s="22">
        <f t="shared" si="4"/>
        <v>84</v>
      </c>
      <c r="J131" s="19" t="s">
        <v>705</v>
      </c>
    </row>
    <row r="132" spans="1:10" ht="33.950000000000003" customHeight="1" x14ac:dyDescent="0.25">
      <c r="A132" s="15">
        <v>131</v>
      </c>
      <c r="B132" s="15" t="s">
        <v>918</v>
      </c>
      <c r="C132" s="15" t="s">
        <v>234</v>
      </c>
      <c r="D132" s="15" t="s">
        <v>919</v>
      </c>
      <c r="E132" s="15" t="s">
        <v>24</v>
      </c>
      <c r="F132" s="16">
        <v>83</v>
      </c>
      <c r="G132" s="17">
        <v>83</v>
      </c>
      <c r="H132" s="17">
        <v>89</v>
      </c>
      <c r="I132" s="18">
        <f t="shared" si="4"/>
        <v>84</v>
      </c>
      <c r="J132" s="15" t="s">
        <v>705</v>
      </c>
    </row>
    <row r="133" spans="1:10" ht="33.950000000000003" customHeight="1" x14ac:dyDescent="0.25">
      <c r="A133" s="19">
        <v>132</v>
      </c>
      <c r="B133" s="19" t="s">
        <v>920</v>
      </c>
      <c r="C133" s="19" t="s">
        <v>921</v>
      </c>
      <c r="D133" s="19" t="s">
        <v>922</v>
      </c>
      <c r="E133" s="19" t="s">
        <v>24</v>
      </c>
      <c r="F133" s="20">
        <v>83</v>
      </c>
      <c r="G133" s="21">
        <v>83</v>
      </c>
      <c r="H133" s="21">
        <v>89</v>
      </c>
      <c r="I133" s="22">
        <f t="shared" si="4"/>
        <v>84</v>
      </c>
      <c r="J133" s="19" t="s">
        <v>705</v>
      </c>
    </row>
    <row r="134" spans="1:10" ht="33.950000000000003" customHeight="1" x14ac:dyDescent="0.25">
      <c r="A134" s="15">
        <v>133</v>
      </c>
      <c r="B134" s="15" t="s">
        <v>923</v>
      </c>
      <c r="C134" s="15" t="s">
        <v>257</v>
      </c>
      <c r="D134" s="15" t="s">
        <v>924</v>
      </c>
      <c r="E134" s="15" t="s">
        <v>24</v>
      </c>
      <c r="F134" s="16">
        <v>83</v>
      </c>
      <c r="G134" s="17">
        <v>83</v>
      </c>
      <c r="H134" s="17">
        <v>89</v>
      </c>
      <c r="I134" s="18">
        <f t="shared" si="4"/>
        <v>84</v>
      </c>
      <c r="J134" s="15" t="s">
        <v>705</v>
      </c>
    </row>
    <row r="135" spans="1:10" ht="33.950000000000003" customHeight="1" x14ac:dyDescent="0.25">
      <c r="A135" s="19">
        <v>134</v>
      </c>
      <c r="B135" s="19" t="s">
        <v>925</v>
      </c>
      <c r="C135" s="19" t="s">
        <v>33</v>
      </c>
      <c r="D135" s="19" t="s">
        <v>926</v>
      </c>
      <c r="E135" s="19" t="s">
        <v>24</v>
      </c>
      <c r="F135" s="20">
        <v>83</v>
      </c>
      <c r="G135" s="21">
        <v>83</v>
      </c>
      <c r="H135" s="21">
        <v>89</v>
      </c>
      <c r="I135" s="22">
        <f t="shared" si="4"/>
        <v>84</v>
      </c>
      <c r="J135" s="19" t="s">
        <v>705</v>
      </c>
    </row>
    <row r="136" spans="1:10" ht="33.950000000000003" customHeight="1" x14ac:dyDescent="0.25">
      <c r="A136" s="15">
        <v>135</v>
      </c>
      <c r="B136" s="15" t="s">
        <v>927</v>
      </c>
      <c r="C136" s="15" t="s">
        <v>328</v>
      </c>
      <c r="D136" s="15" t="s">
        <v>928</v>
      </c>
      <c r="E136" s="15" t="s">
        <v>24</v>
      </c>
      <c r="F136" s="16">
        <v>82</v>
      </c>
      <c r="G136" s="17">
        <v>82</v>
      </c>
      <c r="H136" s="17">
        <v>88</v>
      </c>
      <c r="I136" s="18">
        <f t="shared" si="4"/>
        <v>83</v>
      </c>
      <c r="J136" s="15" t="s">
        <v>705</v>
      </c>
    </row>
    <row r="137" spans="1:10" ht="33.950000000000003" customHeight="1" x14ac:dyDescent="0.25">
      <c r="A137" s="19">
        <v>136</v>
      </c>
      <c r="B137" s="19" t="s">
        <v>929</v>
      </c>
      <c r="C137" s="19" t="s">
        <v>89</v>
      </c>
      <c r="D137" s="19" t="s">
        <v>930</v>
      </c>
      <c r="E137" s="19" t="s">
        <v>24</v>
      </c>
      <c r="F137" s="20">
        <v>82</v>
      </c>
      <c r="G137" s="21">
        <v>82</v>
      </c>
      <c r="H137" s="21">
        <v>88</v>
      </c>
      <c r="I137" s="22">
        <f t="shared" si="4"/>
        <v>83</v>
      </c>
      <c r="J137" s="19" t="s">
        <v>705</v>
      </c>
    </row>
    <row r="138" spans="1:10" ht="33.950000000000003" customHeight="1" x14ac:dyDescent="0.25">
      <c r="A138" s="15">
        <v>137</v>
      </c>
      <c r="B138" s="15" t="s">
        <v>931</v>
      </c>
      <c r="C138" s="15" t="s">
        <v>56</v>
      </c>
      <c r="D138" s="15" t="s">
        <v>741</v>
      </c>
      <c r="E138" s="15" t="s">
        <v>24</v>
      </c>
      <c r="F138" s="16">
        <v>82</v>
      </c>
      <c r="G138" s="17">
        <v>82</v>
      </c>
      <c r="H138" s="17">
        <v>88</v>
      </c>
      <c r="I138" s="18">
        <f t="shared" si="4"/>
        <v>83</v>
      </c>
      <c r="J138" s="15" t="s">
        <v>705</v>
      </c>
    </row>
    <row r="139" spans="1:10" ht="33.950000000000003" customHeight="1" x14ac:dyDescent="0.25">
      <c r="A139" s="19">
        <v>138</v>
      </c>
      <c r="B139" s="19" t="s">
        <v>932</v>
      </c>
      <c r="C139" s="19" t="s">
        <v>367</v>
      </c>
      <c r="D139" s="19" t="s">
        <v>933</v>
      </c>
      <c r="E139" s="19" t="s">
        <v>24</v>
      </c>
      <c r="F139" s="20">
        <v>82</v>
      </c>
      <c r="G139" s="21">
        <v>82</v>
      </c>
      <c r="H139" s="21">
        <v>88</v>
      </c>
      <c r="I139" s="22">
        <f t="shared" si="4"/>
        <v>83</v>
      </c>
      <c r="J139" s="19" t="s">
        <v>705</v>
      </c>
    </row>
    <row r="140" spans="1:10" ht="33.950000000000003" customHeight="1" x14ac:dyDescent="0.25">
      <c r="A140" s="15">
        <v>139</v>
      </c>
      <c r="B140" s="15" t="s">
        <v>934</v>
      </c>
      <c r="C140" s="15" t="s">
        <v>58</v>
      </c>
      <c r="D140" s="15" t="s">
        <v>935</v>
      </c>
      <c r="E140" s="15" t="s">
        <v>24</v>
      </c>
      <c r="F140" s="16">
        <v>82</v>
      </c>
      <c r="G140" s="17">
        <v>82</v>
      </c>
      <c r="H140" s="17">
        <v>88</v>
      </c>
      <c r="I140" s="18">
        <f t="shared" si="4"/>
        <v>83</v>
      </c>
      <c r="J140" s="15" t="s">
        <v>705</v>
      </c>
    </row>
    <row r="141" spans="1:10" ht="33.950000000000003" customHeight="1" x14ac:dyDescent="0.25">
      <c r="A141" s="19">
        <v>140</v>
      </c>
      <c r="B141" s="19" t="s">
        <v>936</v>
      </c>
      <c r="C141" s="19" t="s">
        <v>105</v>
      </c>
      <c r="D141" s="19" t="s">
        <v>937</v>
      </c>
      <c r="E141" s="19" t="s">
        <v>24</v>
      </c>
      <c r="F141" s="20">
        <v>82</v>
      </c>
      <c r="G141" s="21">
        <v>82</v>
      </c>
      <c r="H141" s="21">
        <v>88</v>
      </c>
      <c r="I141" s="22">
        <f t="shared" si="4"/>
        <v>83</v>
      </c>
      <c r="J141" s="19" t="s">
        <v>705</v>
      </c>
    </row>
    <row r="142" spans="1:10" ht="33.950000000000003" customHeight="1" x14ac:dyDescent="0.25">
      <c r="A142" s="15">
        <v>141</v>
      </c>
      <c r="B142" s="15" t="s">
        <v>938</v>
      </c>
      <c r="C142" s="15" t="s">
        <v>50</v>
      </c>
      <c r="D142" s="15" t="s">
        <v>939</v>
      </c>
      <c r="E142" s="15" t="s">
        <v>24</v>
      </c>
      <c r="F142" s="16">
        <v>82</v>
      </c>
      <c r="G142" s="17">
        <v>82</v>
      </c>
      <c r="H142" s="17">
        <v>88</v>
      </c>
      <c r="I142" s="18">
        <f t="shared" si="4"/>
        <v>83</v>
      </c>
      <c r="J142" s="15" t="s">
        <v>705</v>
      </c>
    </row>
    <row r="143" spans="1:10" ht="33.950000000000003" customHeight="1" x14ac:dyDescent="0.25">
      <c r="A143" s="19">
        <v>142</v>
      </c>
      <c r="B143" s="19" t="s">
        <v>940</v>
      </c>
      <c r="C143" s="19" t="s">
        <v>367</v>
      </c>
      <c r="D143" s="19" t="s">
        <v>795</v>
      </c>
      <c r="E143" s="19" t="s">
        <v>24</v>
      </c>
      <c r="F143" s="20">
        <v>82</v>
      </c>
      <c r="G143" s="21">
        <v>82</v>
      </c>
      <c r="H143" s="21">
        <v>88</v>
      </c>
      <c r="I143" s="22">
        <f t="shared" si="4"/>
        <v>83</v>
      </c>
      <c r="J143" s="19" t="s">
        <v>705</v>
      </c>
    </row>
    <row r="144" spans="1:10" ht="33.950000000000003" customHeight="1" x14ac:dyDescent="0.25">
      <c r="A144" s="15">
        <v>143</v>
      </c>
      <c r="B144" s="15" t="s">
        <v>941</v>
      </c>
      <c r="C144" s="15" t="s">
        <v>50</v>
      </c>
      <c r="D144" s="15" t="s">
        <v>942</v>
      </c>
      <c r="E144" s="15" t="s">
        <v>24</v>
      </c>
      <c r="F144" s="16">
        <v>82</v>
      </c>
      <c r="G144" s="17">
        <v>82</v>
      </c>
      <c r="H144" s="17">
        <v>88</v>
      </c>
      <c r="I144" s="18">
        <f t="shared" si="4"/>
        <v>83</v>
      </c>
      <c r="J144" s="15" t="s">
        <v>705</v>
      </c>
    </row>
    <row r="145" spans="1:10" ht="33.950000000000003" customHeight="1" x14ac:dyDescent="0.25">
      <c r="A145" s="19">
        <v>144</v>
      </c>
      <c r="B145" s="19" t="s">
        <v>653</v>
      </c>
      <c r="C145" s="19" t="s">
        <v>53</v>
      </c>
      <c r="D145" s="19" t="s">
        <v>795</v>
      </c>
      <c r="E145" s="19" t="s">
        <v>24</v>
      </c>
      <c r="F145" s="20">
        <v>82</v>
      </c>
      <c r="G145" s="21">
        <v>82</v>
      </c>
      <c r="H145" s="21">
        <v>88</v>
      </c>
      <c r="I145" s="22">
        <f t="shared" si="4"/>
        <v>83</v>
      </c>
      <c r="J145" s="19" t="s">
        <v>705</v>
      </c>
    </row>
    <row r="146" spans="1:10" ht="33.950000000000003" customHeight="1" x14ac:dyDescent="0.25">
      <c r="A146" s="15">
        <v>145</v>
      </c>
      <c r="B146" s="15" t="s">
        <v>943</v>
      </c>
      <c r="C146" s="15" t="s">
        <v>43</v>
      </c>
      <c r="D146" s="15" t="s">
        <v>795</v>
      </c>
      <c r="E146" s="15" t="s">
        <v>24</v>
      </c>
      <c r="F146" s="16">
        <v>82</v>
      </c>
      <c r="G146" s="17">
        <v>82</v>
      </c>
      <c r="H146" s="17">
        <v>88</v>
      </c>
      <c r="I146" s="18">
        <f t="shared" si="4"/>
        <v>83</v>
      </c>
      <c r="J146" s="15" t="s">
        <v>705</v>
      </c>
    </row>
    <row r="147" spans="1:10" ht="33.950000000000003" customHeight="1" x14ac:dyDescent="0.25">
      <c r="A147" s="19">
        <v>146</v>
      </c>
      <c r="B147" s="19" t="s">
        <v>526</v>
      </c>
      <c r="C147" s="19" t="s">
        <v>43</v>
      </c>
      <c r="D147" s="19" t="s">
        <v>795</v>
      </c>
      <c r="E147" s="19" t="s">
        <v>24</v>
      </c>
      <c r="F147" s="20">
        <v>82</v>
      </c>
      <c r="G147" s="21">
        <v>82</v>
      </c>
      <c r="H147" s="21">
        <v>88</v>
      </c>
      <c r="I147" s="22">
        <f t="shared" si="4"/>
        <v>83</v>
      </c>
      <c r="J147" s="19" t="s">
        <v>705</v>
      </c>
    </row>
    <row r="148" spans="1:10" ht="33.950000000000003" customHeight="1" x14ac:dyDescent="0.25">
      <c r="A148" s="15">
        <v>147</v>
      </c>
      <c r="B148" s="15" t="s">
        <v>944</v>
      </c>
      <c r="C148" s="15" t="s">
        <v>33</v>
      </c>
      <c r="D148" s="15" t="s">
        <v>945</v>
      </c>
      <c r="E148" s="15" t="s">
        <v>24</v>
      </c>
      <c r="F148" s="16">
        <v>82</v>
      </c>
      <c r="G148" s="17">
        <v>82</v>
      </c>
      <c r="H148" s="17">
        <v>88</v>
      </c>
      <c r="I148" s="18">
        <f t="shared" si="4"/>
        <v>83</v>
      </c>
      <c r="J148" s="15" t="s">
        <v>705</v>
      </c>
    </row>
    <row r="149" spans="1:10" ht="33.950000000000003" customHeight="1" x14ac:dyDescent="0.25">
      <c r="A149" s="19">
        <v>148</v>
      </c>
      <c r="B149" s="19" t="s">
        <v>946</v>
      </c>
      <c r="C149" s="19" t="s">
        <v>37</v>
      </c>
      <c r="D149" s="19" t="s">
        <v>947</v>
      </c>
      <c r="E149" s="19" t="s">
        <v>24</v>
      </c>
      <c r="F149" s="20">
        <v>82</v>
      </c>
      <c r="G149" s="21">
        <v>82</v>
      </c>
      <c r="H149" s="21">
        <v>88</v>
      </c>
      <c r="I149" s="22">
        <f t="shared" si="4"/>
        <v>83</v>
      </c>
      <c r="J149" s="19" t="s">
        <v>705</v>
      </c>
    </row>
    <row r="150" spans="1:10" ht="33.950000000000003" customHeight="1" x14ac:dyDescent="0.25">
      <c r="A150" s="15">
        <v>149</v>
      </c>
      <c r="B150" s="15" t="s">
        <v>948</v>
      </c>
      <c r="C150" s="15" t="s">
        <v>120</v>
      </c>
      <c r="D150" s="15" t="s">
        <v>949</v>
      </c>
      <c r="E150" s="15" t="s">
        <v>24</v>
      </c>
      <c r="F150" s="16">
        <v>82</v>
      </c>
      <c r="G150" s="17">
        <v>82</v>
      </c>
      <c r="H150" s="17">
        <v>88</v>
      </c>
      <c r="I150" s="18">
        <f t="shared" si="4"/>
        <v>83</v>
      </c>
      <c r="J150" s="15" t="s">
        <v>705</v>
      </c>
    </row>
    <row r="151" spans="1:10" ht="33.950000000000003" customHeight="1" x14ac:dyDescent="0.25">
      <c r="A151" s="19">
        <v>150</v>
      </c>
      <c r="B151" s="19" t="s">
        <v>950</v>
      </c>
      <c r="C151" s="19" t="s">
        <v>43</v>
      </c>
      <c r="D151" s="19" t="s">
        <v>951</v>
      </c>
      <c r="E151" s="19" t="s">
        <v>24</v>
      </c>
      <c r="F151" s="20">
        <v>82</v>
      </c>
      <c r="G151" s="21">
        <v>82</v>
      </c>
      <c r="H151" s="21">
        <v>88</v>
      </c>
      <c r="I151" s="22">
        <f t="shared" si="4"/>
        <v>83</v>
      </c>
      <c r="J151" s="19" t="s">
        <v>705</v>
      </c>
    </row>
    <row r="152" spans="1:10" ht="33.950000000000003" customHeight="1" x14ac:dyDescent="0.25">
      <c r="A152" s="15">
        <v>151</v>
      </c>
      <c r="B152" s="15" t="s">
        <v>952</v>
      </c>
      <c r="C152" s="15" t="s">
        <v>352</v>
      </c>
      <c r="D152" s="15" t="s">
        <v>953</v>
      </c>
      <c r="E152" s="15" t="s">
        <v>24</v>
      </c>
      <c r="F152" s="16">
        <v>81</v>
      </c>
      <c r="G152" s="17">
        <v>81</v>
      </c>
      <c r="H152" s="17">
        <v>87</v>
      </c>
      <c r="I152" s="18">
        <f t="shared" si="4"/>
        <v>82</v>
      </c>
      <c r="J152" s="15" t="s">
        <v>705</v>
      </c>
    </row>
    <row r="153" spans="1:10" ht="33.950000000000003" customHeight="1" x14ac:dyDescent="0.25">
      <c r="A153" s="19">
        <v>152</v>
      </c>
      <c r="B153" s="19" t="s">
        <v>954</v>
      </c>
      <c r="C153" s="19" t="s">
        <v>105</v>
      </c>
      <c r="D153" s="19" t="s">
        <v>955</v>
      </c>
      <c r="E153" s="19" t="s">
        <v>24</v>
      </c>
      <c r="F153" s="20">
        <v>81</v>
      </c>
      <c r="G153" s="21">
        <v>81</v>
      </c>
      <c r="H153" s="21">
        <v>87</v>
      </c>
      <c r="I153" s="22">
        <f t="shared" si="4"/>
        <v>82</v>
      </c>
      <c r="J153" s="19" t="s">
        <v>705</v>
      </c>
    </row>
    <row r="154" spans="1:10" ht="33.950000000000003" customHeight="1" x14ac:dyDescent="0.25">
      <c r="A154" s="15">
        <v>153</v>
      </c>
      <c r="B154" s="15" t="s">
        <v>956</v>
      </c>
      <c r="C154" s="15" t="s">
        <v>33</v>
      </c>
      <c r="D154" s="15" t="s">
        <v>957</v>
      </c>
      <c r="E154" s="15" t="s">
        <v>24</v>
      </c>
      <c r="F154" s="16">
        <v>81</v>
      </c>
      <c r="G154" s="17">
        <v>81</v>
      </c>
      <c r="H154" s="17">
        <v>87</v>
      </c>
      <c r="I154" s="18">
        <f t="shared" si="4"/>
        <v>82</v>
      </c>
      <c r="J154" s="15" t="s">
        <v>705</v>
      </c>
    </row>
    <row r="155" spans="1:10" ht="33.950000000000003" customHeight="1" x14ac:dyDescent="0.25">
      <c r="A155" s="19">
        <v>154</v>
      </c>
      <c r="B155" s="19" t="s">
        <v>958</v>
      </c>
      <c r="C155" s="19" t="s">
        <v>43</v>
      </c>
      <c r="D155" s="19" t="s">
        <v>959</v>
      </c>
      <c r="E155" s="19" t="s">
        <v>24</v>
      </c>
      <c r="F155" s="20">
        <v>81</v>
      </c>
      <c r="G155" s="21">
        <v>81</v>
      </c>
      <c r="H155" s="21">
        <v>87</v>
      </c>
      <c r="I155" s="22">
        <f t="shared" si="4"/>
        <v>82</v>
      </c>
      <c r="J155" s="19" t="s">
        <v>705</v>
      </c>
    </row>
    <row r="156" spans="1:10" ht="33.950000000000003" customHeight="1" x14ac:dyDescent="0.25">
      <c r="A156" s="15">
        <v>155</v>
      </c>
      <c r="B156" s="15" t="s">
        <v>960</v>
      </c>
      <c r="C156" s="15" t="s">
        <v>50</v>
      </c>
      <c r="D156" s="15" t="s">
        <v>959</v>
      </c>
      <c r="E156" s="15" t="s">
        <v>24</v>
      </c>
      <c r="F156" s="16">
        <v>81</v>
      </c>
      <c r="G156" s="17">
        <v>81</v>
      </c>
      <c r="H156" s="17">
        <v>87</v>
      </c>
      <c r="I156" s="18">
        <f t="shared" si="4"/>
        <v>82</v>
      </c>
      <c r="J156" s="15" t="s">
        <v>705</v>
      </c>
    </row>
    <row r="157" spans="1:10" ht="33.950000000000003" customHeight="1" x14ac:dyDescent="0.25">
      <c r="A157" s="19">
        <v>156</v>
      </c>
      <c r="B157" s="19" t="s">
        <v>961</v>
      </c>
      <c r="C157" s="19" t="s">
        <v>53</v>
      </c>
      <c r="D157" s="19" t="s">
        <v>962</v>
      </c>
      <c r="E157" s="19" t="s">
        <v>24</v>
      </c>
      <c r="F157" s="20">
        <v>81</v>
      </c>
      <c r="G157" s="21">
        <v>81</v>
      </c>
      <c r="H157" s="21">
        <v>87</v>
      </c>
      <c r="I157" s="22">
        <f t="shared" si="4"/>
        <v>82</v>
      </c>
      <c r="J157" s="19" t="s">
        <v>705</v>
      </c>
    </row>
    <row r="158" spans="1:10" ht="33.950000000000003" customHeight="1" x14ac:dyDescent="0.25">
      <c r="A158" s="15">
        <v>157</v>
      </c>
      <c r="B158" s="15" t="s">
        <v>963</v>
      </c>
      <c r="C158" s="15" t="s">
        <v>43</v>
      </c>
      <c r="D158" s="15" t="s">
        <v>964</v>
      </c>
      <c r="E158" s="15" t="s">
        <v>24</v>
      </c>
      <c r="F158" s="16">
        <v>81</v>
      </c>
      <c r="G158" s="17">
        <v>81</v>
      </c>
      <c r="H158" s="17">
        <v>87</v>
      </c>
      <c r="I158" s="18">
        <f t="shared" si="4"/>
        <v>82</v>
      </c>
      <c r="J158" s="15" t="s">
        <v>705</v>
      </c>
    </row>
    <row r="159" spans="1:10" ht="33.950000000000003" customHeight="1" x14ac:dyDescent="0.25">
      <c r="A159" s="19">
        <v>158</v>
      </c>
      <c r="B159" s="19" t="s">
        <v>965</v>
      </c>
      <c r="C159" s="19" t="s">
        <v>120</v>
      </c>
      <c r="D159" s="19" t="s">
        <v>966</v>
      </c>
      <c r="E159" s="19" t="s">
        <v>24</v>
      </c>
      <c r="F159" s="20">
        <v>81</v>
      </c>
      <c r="G159" s="21">
        <v>81</v>
      </c>
      <c r="H159" s="21">
        <v>87</v>
      </c>
      <c r="I159" s="22">
        <f t="shared" si="4"/>
        <v>82</v>
      </c>
      <c r="J159" s="19" t="s">
        <v>705</v>
      </c>
    </row>
    <row r="160" spans="1:10" ht="33.950000000000003" customHeight="1" x14ac:dyDescent="0.25">
      <c r="A160" s="15">
        <v>159</v>
      </c>
      <c r="B160" s="15" t="s">
        <v>967</v>
      </c>
      <c r="C160" s="15" t="s">
        <v>33</v>
      </c>
      <c r="D160" s="15" t="s">
        <v>968</v>
      </c>
      <c r="E160" s="15" t="s">
        <v>24</v>
      </c>
      <c r="F160" s="16">
        <v>81</v>
      </c>
      <c r="G160" s="17">
        <v>81</v>
      </c>
      <c r="H160" s="17">
        <v>87</v>
      </c>
      <c r="I160" s="18">
        <f t="shared" si="4"/>
        <v>82</v>
      </c>
      <c r="J160" s="15" t="s">
        <v>705</v>
      </c>
    </row>
    <row r="161" spans="1:10" ht="33.950000000000003" customHeight="1" x14ac:dyDescent="0.25">
      <c r="A161" s="19">
        <v>160</v>
      </c>
      <c r="B161" s="19" t="s">
        <v>969</v>
      </c>
      <c r="C161" s="19" t="s">
        <v>78</v>
      </c>
      <c r="D161" s="19" t="s">
        <v>970</v>
      </c>
      <c r="E161" s="19" t="s">
        <v>24</v>
      </c>
      <c r="F161" s="20">
        <v>81</v>
      </c>
      <c r="G161" s="21">
        <v>81</v>
      </c>
      <c r="H161" s="21">
        <v>87</v>
      </c>
      <c r="I161" s="22">
        <f t="shared" si="4"/>
        <v>82</v>
      </c>
      <c r="J161" s="19" t="s">
        <v>705</v>
      </c>
    </row>
    <row r="162" spans="1:10" ht="33.950000000000003" customHeight="1" x14ac:dyDescent="0.25">
      <c r="A162" s="15">
        <v>161</v>
      </c>
      <c r="B162" s="15" t="s">
        <v>971</v>
      </c>
      <c r="C162" s="15" t="s">
        <v>56</v>
      </c>
      <c r="D162" s="15" t="s">
        <v>972</v>
      </c>
      <c r="E162" s="15" t="s">
        <v>24</v>
      </c>
      <c r="F162" s="16">
        <v>81</v>
      </c>
      <c r="G162" s="17">
        <v>81</v>
      </c>
      <c r="H162" s="17">
        <v>87</v>
      </c>
      <c r="I162" s="18">
        <f t="shared" ref="I162:I193" si="5">ROUND(F162*0.55+G162*0.3+H162*0.15,0)</f>
        <v>82</v>
      </c>
      <c r="J162" s="15" t="s">
        <v>705</v>
      </c>
    </row>
    <row r="163" spans="1:10" ht="33.950000000000003" customHeight="1" x14ac:dyDescent="0.25">
      <c r="A163" s="19">
        <v>162</v>
      </c>
      <c r="B163" s="19" t="s">
        <v>973</v>
      </c>
      <c r="C163" s="19" t="s">
        <v>50</v>
      </c>
      <c r="D163" s="19" t="s">
        <v>974</v>
      </c>
      <c r="E163" s="19" t="s">
        <v>24</v>
      </c>
      <c r="F163" s="20">
        <v>81</v>
      </c>
      <c r="G163" s="21">
        <v>81</v>
      </c>
      <c r="H163" s="21">
        <v>87</v>
      </c>
      <c r="I163" s="22">
        <f t="shared" si="5"/>
        <v>82</v>
      </c>
      <c r="J163" s="19" t="s">
        <v>705</v>
      </c>
    </row>
    <row r="164" spans="1:10" ht="33.950000000000003" customHeight="1" x14ac:dyDescent="0.25">
      <c r="A164" s="15">
        <v>163</v>
      </c>
      <c r="B164" s="15" t="s">
        <v>975</v>
      </c>
      <c r="C164" s="15" t="s">
        <v>50</v>
      </c>
      <c r="D164" s="15" t="s">
        <v>976</v>
      </c>
      <c r="E164" s="15" t="s">
        <v>24</v>
      </c>
      <c r="F164" s="16">
        <v>81</v>
      </c>
      <c r="G164" s="17">
        <v>81</v>
      </c>
      <c r="H164" s="17">
        <v>87</v>
      </c>
      <c r="I164" s="18">
        <f t="shared" si="5"/>
        <v>82</v>
      </c>
      <c r="J164" s="15" t="s">
        <v>705</v>
      </c>
    </row>
    <row r="165" spans="1:10" ht="33.950000000000003" customHeight="1" x14ac:dyDescent="0.25">
      <c r="A165" s="19">
        <v>164</v>
      </c>
      <c r="B165" s="19" t="s">
        <v>977</v>
      </c>
      <c r="C165" s="19" t="s">
        <v>50</v>
      </c>
      <c r="D165" s="19" t="s">
        <v>978</v>
      </c>
      <c r="E165" s="19" t="s">
        <v>24</v>
      </c>
      <c r="F165" s="20">
        <v>81</v>
      </c>
      <c r="G165" s="21">
        <v>81</v>
      </c>
      <c r="H165" s="21">
        <v>87</v>
      </c>
      <c r="I165" s="22">
        <f t="shared" si="5"/>
        <v>82</v>
      </c>
      <c r="J165" s="19" t="s">
        <v>705</v>
      </c>
    </row>
    <row r="166" spans="1:10" ht="33.950000000000003" customHeight="1" x14ac:dyDescent="0.25">
      <c r="A166" s="15">
        <v>165</v>
      </c>
      <c r="B166" s="15" t="s">
        <v>979</v>
      </c>
      <c r="C166" s="15" t="s">
        <v>284</v>
      </c>
      <c r="D166" s="15" t="s">
        <v>980</v>
      </c>
      <c r="E166" s="15" t="s">
        <v>24</v>
      </c>
      <c r="F166" s="16">
        <v>81</v>
      </c>
      <c r="G166" s="17">
        <v>81</v>
      </c>
      <c r="H166" s="17">
        <v>87</v>
      </c>
      <c r="I166" s="18">
        <f t="shared" si="5"/>
        <v>82</v>
      </c>
      <c r="J166" s="15" t="s">
        <v>705</v>
      </c>
    </row>
    <row r="167" spans="1:10" ht="33.950000000000003" customHeight="1" x14ac:dyDescent="0.25">
      <c r="A167" s="19">
        <v>166</v>
      </c>
      <c r="B167" s="19" t="s">
        <v>981</v>
      </c>
      <c r="C167" s="19" t="s">
        <v>43</v>
      </c>
      <c r="D167" s="19" t="s">
        <v>982</v>
      </c>
      <c r="E167" s="19" t="s">
        <v>24</v>
      </c>
      <c r="F167" s="20">
        <v>81</v>
      </c>
      <c r="G167" s="21">
        <v>81</v>
      </c>
      <c r="H167" s="21">
        <v>87</v>
      </c>
      <c r="I167" s="22">
        <f t="shared" si="5"/>
        <v>82</v>
      </c>
      <c r="J167" s="19" t="s">
        <v>705</v>
      </c>
    </row>
    <row r="168" spans="1:10" ht="33.950000000000003" customHeight="1" x14ac:dyDescent="0.25">
      <c r="A168" s="15">
        <v>167</v>
      </c>
      <c r="B168" s="15" t="s">
        <v>983</v>
      </c>
      <c r="C168" s="15" t="s">
        <v>43</v>
      </c>
      <c r="D168" s="15" t="s">
        <v>933</v>
      </c>
      <c r="E168" s="15" t="s">
        <v>24</v>
      </c>
      <c r="F168" s="16">
        <v>81</v>
      </c>
      <c r="G168" s="17">
        <v>81</v>
      </c>
      <c r="H168" s="17">
        <v>87</v>
      </c>
      <c r="I168" s="18">
        <f t="shared" si="5"/>
        <v>82</v>
      </c>
      <c r="J168" s="15" t="s">
        <v>705</v>
      </c>
    </row>
    <row r="169" spans="1:10" ht="33.950000000000003" customHeight="1" x14ac:dyDescent="0.25">
      <c r="A169" s="19">
        <v>168</v>
      </c>
      <c r="B169" s="19" t="s">
        <v>984</v>
      </c>
      <c r="C169" s="19" t="s">
        <v>43</v>
      </c>
      <c r="D169" s="19" t="s">
        <v>933</v>
      </c>
      <c r="E169" s="19" t="s">
        <v>24</v>
      </c>
      <c r="F169" s="20">
        <v>81</v>
      </c>
      <c r="G169" s="21">
        <v>81</v>
      </c>
      <c r="H169" s="21">
        <v>87</v>
      </c>
      <c r="I169" s="22">
        <f t="shared" si="5"/>
        <v>82</v>
      </c>
      <c r="J169" s="19" t="s">
        <v>705</v>
      </c>
    </row>
    <row r="170" spans="1:10" ht="33.950000000000003" customHeight="1" x14ac:dyDescent="0.25">
      <c r="A170" s="15">
        <v>169</v>
      </c>
      <c r="B170" s="15" t="s">
        <v>985</v>
      </c>
      <c r="C170" s="15" t="s">
        <v>120</v>
      </c>
      <c r="D170" s="15" t="s">
        <v>707</v>
      </c>
      <c r="E170" s="15" t="s">
        <v>24</v>
      </c>
      <c r="F170" s="16">
        <v>81</v>
      </c>
      <c r="G170" s="17">
        <v>81</v>
      </c>
      <c r="H170" s="17">
        <v>87</v>
      </c>
      <c r="I170" s="18">
        <f t="shared" si="5"/>
        <v>82</v>
      </c>
      <c r="J170" s="15" t="s">
        <v>705</v>
      </c>
    </row>
    <row r="171" spans="1:10" ht="33.950000000000003" customHeight="1" x14ac:dyDescent="0.25">
      <c r="A171" s="19">
        <v>170</v>
      </c>
      <c r="B171" s="19" t="s">
        <v>986</v>
      </c>
      <c r="C171" s="19" t="s">
        <v>50</v>
      </c>
      <c r="D171" s="19" t="s">
        <v>741</v>
      </c>
      <c r="E171" s="19" t="s">
        <v>24</v>
      </c>
      <c r="F171" s="20">
        <v>81</v>
      </c>
      <c r="G171" s="21">
        <v>81</v>
      </c>
      <c r="H171" s="21">
        <v>87</v>
      </c>
      <c r="I171" s="22">
        <f t="shared" si="5"/>
        <v>82</v>
      </c>
      <c r="J171" s="19" t="s">
        <v>705</v>
      </c>
    </row>
    <row r="172" spans="1:10" ht="33.950000000000003" customHeight="1" x14ac:dyDescent="0.25">
      <c r="A172" s="15">
        <v>171</v>
      </c>
      <c r="B172" s="15" t="s">
        <v>987</v>
      </c>
      <c r="C172" s="15" t="s">
        <v>105</v>
      </c>
      <c r="D172" s="15" t="s">
        <v>722</v>
      </c>
      <c r="E172" s="15" t="s">
        <v>24</v>
      </c>
      <c r="F172" s="16">
        <v>80</v>
      </c>
      <c r="G172" s="17">
        <v>80</v>
      </c>
      <c r="H172" s="17">
        <v>86</v>
      </c>
      <c r="I172" s="18">
        <f t="shared" si="5"/>
        <v>81</v>
      </c>
      <c r="J172" s="15" t="s">
        <v>705</v>
      </c>
    </row>
    <row r="173" spans="1:10" ht="33.950000000000003" customHeight="1" x14ac:dyDescent="0.25">
      <c r="A173" s="19">
        <v>172</v>
      </c>
      <c r="B173" s="19" t="s">
        <v>988</v>
      </c>
      <c r="C173" s="19" t="s">
        <v>50</v>
      </c>
      <c r="D173" s="19" t="s">
        <v>989</v>
      </c>
      <c r="E173" s="19" t="s">
        <v>24</v>
      </c>
      <c r="F173" s="20">
        <v>80</v>
      </c>
      <c r="G173" s="21">
        <v>80</v>
      </c>
      <c r="H173" s="21">
        <v>86</v>
      </c>
      <c r="I173" s="22">
        <f t="shared" si="5"/>
        <v>81</v>
      </c>
      <c r="J173" s="19" t="s">
        <v>705</v>
      </c>
    </row>
    <row r="174" spans="1:10" ht="33.950000000000003" customHeight="1" x14ac:dyDescent="0.25">
      <c r="A174" s="15">
        <v>173</v>
      </c>
      <c r="B174" s="15" t="s">
        <v>990</v>
      </c>
      <c r="C174" s="15" t="s">
        <v>120</v>
      </c>
      <c r="D174" s="15" t="s">
        <v>722</v>
      </c>
      <c r="E174" s="15" t="s">
        <v>24</v>
      </c>
      <c r="F174" s="16">
        <v>80</v>
      </c>
      <c r="G174" s="17">
        <v>80</v>
      </c>
      <c r="H174" s="17">
        <v>86</v>
      </c>
      <c r="I174" s="18">
        <f t="shared" si="5"/>
        <v>81</v>
      </c>
      <c r="J174" s="15" t="s">
        <v>705</v>
      </c>
    </row>
    <row r="175" spans="1:10" ht="33.950000000000003" customHeight="1" x14ac:dyDescent="0.25">
      <c r="A175" s="19">
        <v>174</v>
      </c>
      <c r="B175" s="19" t="s">
        <v>991</v>
      </c>
      <c r="C175" s="19" t="s">
        <v>136</v>
      </c>
      <c r="D175" s="19" t="s">
        <v>722</v>
      </c>
      <c r="E175" s="19" t="s">
        <v>24</v>
      </c>
      <c r="F175" s="20">
        <v>80</v>
      </c>
      <c r="G175" s="21">
        <v>80</v>
      </c>
      <c r="H175" s="21">
        <v>86</v>
      </c>
      <c r="I175" s="22">
        <f t="shared" si="5"/>
        <v>81</v>
      </c>
      <c r="J175" s="19" t="s">
        <v>705</v>
      </c>
    </row>
    <row r="176" spans="1:10" ht="33.950000000000003" customHeight="1" x14ac:dyDescent="0.25">
      <c r="A176" s="15">
        <v>175</v>
      </c>
      <c r="B176" s="15" t="s">
        <v>992</v>
      </c>
      <c r="C176" s="15" t="s">
        <v>86</v>
      </c>
      <c r="D176" s="15" t="s">
        <v>722</v>
      </c>
      <c r="E176" s="15" t="s">
        <v>24</v>
      </c>
      <c r="F176" s="16">
        <v>80</v>
      </c>
      <c r="G176" s="17">
        <v>80</v>
      </c>
      <c r="H176" s="17">
        <v>86</v>
      </c>
      <c r="I176" s="18">
        <f t="shared" si="5"/>
        <v>81</v>
      </c>
      <c r="J176" s="15" t="s">
        <v>705</v>
      </c>
    </row>
    <row r="177" spans="1:10" ht="33.950000000000003" customHeight="1" x14ac:dyDescent="0.25">
      <c r="A177" s="19">
        <v>176</v>
      </c>
      <c r="B177" s="19" t="s">
        <v>993</v>
      </c>
      <c r="C177" s="19" t="s">
        <v>89</v>
      </c>
      <c r="D177" s="19" t="s">
        <v>722</v>
      </c>
      <c r="E177" s="19" t="s">
        <v>24</v>
      </c>
      <c r="F177" s="20">
        <v>80</v>
      </c>
      <c r="G177" s="21">
        <v>80</v>
      </c>
      <c r="H177" s="21">
        <v>86</v>
      </c>
      <c r="I177" s="22">
        <f t="shared" si="5"/>
        <v>81</v>
      </c>
      <c r="J177" s="19" t="s">
        <v>705</v>
      </c>
    </row>
    <row r="178" spans="1:10" ht="33.950000000000003" customHeight="1" x14ac:dyDescent="0.25">
      <c r="A178" s="15">
        <v>177</v>
      </c>
      <c r="B178" s="15" t="s">
        <v>994</v>
      </c>
      <c r="C178" s="15" t="s">
        <v>50</v>
      </c>
      <c r="D178" s="15" t="s">
        <v>722</v>
      </c>
      <c r="E178" s="15" t="s">
        <v>24</v>
      </c>
      <c r="F178" s="16">
        <v>80</v>
      </c>
      <c r="G178" s="17">
        <v>80</v>
      </c>
      <c r="H178" s="17">
        <v>86</v>
      </c>
      <c r="I178" s="18">
        <f t="shared" si="5"/>
        <v>81</v>
      </c>
      <c r="J178" s="15" t="s">
        <v>705</v>
      </c>
    </row>
    <row r="179" spans="1:10" ht="33.950000000000003" customHeight="1" x14ac:dyDescent="0.25">
      <c r="A179" s="19">
        <v>178</v>
      </c>
      <c r="B179" s="19" t="s">
        <v>995</v>
      </c>
      <c r="C179" s="19" t="s">
        <v>136</v>
      </c>
      <c r="D179" s="19" t="s">
        <v>996</v>
      </c>
      <c r="E179" s="19" t="s">
        <v>24</v>
      </c>
      <c r="F179" s="20">
        <v>80</v>
      </c>
      <c r="G179" s="21">
        <v>80</v>
      </c>
      <c r="H179" s="21">
        <v>86</v>
      </c>
      <c r="I179" s="22">
        <f t="shared" si="5"/>
        <v>81</v>
      </c>
      <c r="J179" s="19" t="s">
        <v>705</v>
      </c>
    </row>
    <row r="180" spans="1:10" ht="33.950000000000003" customHeight="1" x14ac:dyDescent="0.25">
      <c r="A180" s="15">
        <v>179</v>
      </c>
      <c r="B180" s="15" t="s">
        <v>997</v>
      </c>
      <c r="C180" s="15" t="s">
        <v>43</v>
      </c>
      <c r="D180" s="15" t="s">
        <v>741</v>
      </c>
      <c r="E180" s="15" t="s">
        <v>24</v>
      </c>
      <c r="F180" s="16">
        <v>80</v>
      </c>
      <c r="G180" s="17">
        <v>80</v>
      </c>
      <c r="H180" s="17">
        <v>86</v>
      </c>
      <c r="I180" s="18">
        <f t="shared" si="5"/>
        <v>81</v>
      </c>
      <c r="J180" s="15" t="s">
        <v>705</v>
      </c>
    </row>
    <row r="181" spans="1:10" ht="33.950000000000003" customHeight="1" x14ac:dyDescent="0.25">
      <c r="A181" s="19">
        <v>180</v>
      </c>
      <c r="B181" s="19" t="s">
        <v>998</v>
      </c>
      <c r="C181" s="19" t="s">
        <v>139</v>
      </c>
      <c r="D181" s="19" t="s">
        <v>999</v>
      </c>
      <c r="E181" s="19" t="s">
        <v>24</v>
      </c>
      <c r="F181" s="20">
        <v>80</v>
      </c>
      <c r="G181" s="21">
        <v>80</v>
      </c>
      <c r="H181" s="21">
        <v>86</v>
      </c>
      <c r="I181" s="22">
        <f t="shared" si="5"/>
        <v>81</v>
      </c>
      <c r="J181" s="19" t="s">
        <v>705</v>
      </c>
    </row>
    <row r="182" spans="1:10" ht="33.950000000000003" customHeight="1" x14ac:dyDescent="0.25">
      <c r="A182" s="15">
        <v>181</v>
      </c>
      <c r="B182" s="15" t="s">
        <v>1000</v>
      </c>
      <c r="C182" s="15" t="s">
        <v>1001</v>
      </c>
      <c r="D182" s="15" t="s">
        <v>1002</v>
      </c>
      <c r="E182" s="15" t="s">
        <v>24</v>
      </c>
      <c r="F182" s="16">
        <v>80</v>
      </c>
      <c r="G182" s="17">
        <v>80</v>
      </c>
      <c r="H182" s="17">
        <v>86</v>
      </c>
      <c r="I182" s="18">
        <f t="shared" si="5"/>
        <v>81</v>
      </c>
      <c r="J182" s="15" t="s">
        <v>705</v>
      </c>
    </row>
    <row r="183" spans="1:10" ht="33.950000000000003" customHeight="1" x14ac:dyDescent="0.25">
      <c r="A183" s="19">
        <v>182</v>
      </c>
      <c r="B183" s="19" t="s">
        <v>1003</v>
      </c>
      <c r="C183" s="19" t="s">
        <v>120</v>
      </c>
      <c r="D183" s="19" t="s">
        <v>1004</v>
      </c>
      <c r="E183" s="19" t="s">
        <v>24</v>
      </c>
      <c r="F183" s="20">
        <v>80</v>
      </c>
      <c r="G183" s="21">
        <v>80</v>
      </c>
      <c r="H183" s="21">
        <v>86</v>
      </c>
      <c r="I183" s="22">
        <f t="shared" si="5"/>
        <v>81</v>
      </c>
      <c r="J183" s="19" t="s">
        <v>705</v>
      </c>
    </row>
    <row r="184" spans="1:10" ht="33.950000000000003" customHeight="1" x14ac:dyDescent="0.25">
      <c r="A184" s="15">
        <v>183</v>
      </c>
      <c r="B184" s="15" t="s">
        <v>1005</v>
      </c>
      <c r="C184" s="15" t="s">
        <v>56</v>
      </c>
      <c r="D184" s="15" t="s">
        <v>1006</v>
      </c>
      <c r="E184" s="15" t="s">
        <v>24</v>
      </c>
      <c r="F184" s="16">
        <v>80</v>
      </c>
      <c r="G184" s="17">
        <v>80</v>
      </c>
      <c r="H184" s="17">
        <v>86</v>
      </c>
      <c r="I184" s="18">
        <f t="shared" si="5"/>
        <v>81</v>
      </c>
      <c r="J184" s="15" t="s">
        <v>705</v>
      </c>
    </row>
    <row r="185" spans="1:10" ht="33.950000000000003" customHeight="1" x14ac:dyDescent="0.25">
      <c r="A185" s="19">
        <v>184</v>
      </c>
      <c r="B185" s="19" t="s">
        <v>1007</v>
      </c>
      <c r="C185" s="19" t="s">
        <v>496</v>
      </c>
      <c r="D185" s="19" t="s">
        <v>1008</v>
      </c>
      <c r="E185" s="19" t="s">
        <v>24</v>
      </c>
      <c r="F185" s="20">
        <v>80</v>
      </c>
      <c r="G185" s="21">
        <v>80</v>
      </c>
      <c r="H185" s="21">
        <v>86</v>
      </c>
      <c r="I185" s="22">
        <f t="shared" si="5"/>
        <v>81</v>
      </c>
      <c r="J185" s="19" t="s">
        <v>705</v>
      </c>
    </row>
    <row r="186" spans="1:10" ht="33.950000000000003" customHeight="1" x14ac:dyDescent="0.25">
      <c r="A186" s="15">
        <v>185</v>
      </c>
      <c r="B186" s="15" t="s">
        <v>1009</v>
      </c>
      <c r="C186" s="15" t="s">
        <v>89</v>
      </c>
      <c r="D186" s="15" t="s">
        <v>729</v>
      </c>
      <c r="E186" s="15" t="s">
        <v>24</v>
      </c>
      <c r="F186" s="16">
        <v>80</v>
      </c>
      <c r="G186" s="17">
        <v>80</v>
      </c>
      <c r="H186" s="17">
        <v>86</v>
      </c>
      <c r="I186" s="18">
        <f t="shared" si="5"/>
        <v>81</v>
      </c>
      <c r="J186" s="15" t="s">
        <v>705</v>
      </c>
    </row>
    <row r="187" spans="1:10" ht="33.950000000000003" customHeight="1" x14ac:dyDescent="0.25">
      <c r="A187" s="19">
        <v>186</v>
      </c>
      <c r="B187" s="19" t="s">
        <v>1010</v>
      </c>
      <c r="C187" s="19" t="s">
        <v>33</v>
      </c>
      <c r="D187" s="19" t="s">
        <v>1011</v>
      </c>
      <c r="E187" s="19" t="s">
        <v>24</v>
      </c>
      <c r="F187" s="20">
        <v>80</v>
      </c>
      <c r="G187" s="21">
        <v>80</v>
      </c>
      <c r="H187" s="21">
        <v>86</v>
      </c>
      <c r="I187" s="22">
        <f t="shared" si="5"/>
        <v>81</v>
      </c>
      <c r="J187" s="19" t="s">
        <v>705</v>
      </c>
    </row>
    <row r="188" spans="1:10" ht="33.950000000000003" customHeight="1" x14ac:dyDescent="0.25">
      <c r="A188" s="15">
        <v>187</v>
      </c>
      <c r="B188" s="15" t="s">
        <v>1012</v>
      </c>
      <c r="C188" s="15" t="s">
        <v>120</v>
      </c>
      <c r="D188" s="15" t="s">
        <v>1013</v>
      </c>
      <c r="E188" s="15" t="s">
        <v>24</v>
      </c>
      <c r="F188" s="16">
        <v>80</v>
      </c>
      <c r="G188" s="17">
        <v>80</v>
      </c>
      <c r="H188" s="17">
        <v>86</v>
      </c>
      <c r="I188" s="18">
        <f t="shared" si="5"/>
        <v>81</v>
      </c>
      <c r="J188" s="15" t="s">
        <v>705</v>
      </c>
    </row>
    <row r="189" spans="1:10" ht="33.950000000000003" customHeight="1" x14ac:dyDescent="0.25">
      <c r="A189" s="19">
        <v>188</v>
      </c>
      <c r="B189" s="19" t="s">
        <v>1014</v>
      </c>
      <c r="C189" s="19" t="s">
        <v>82</v>
      </c>
      <c r="D189" s="19" t="s">
        <v>839</v>
      </c>
      <c r="E189" s="19" t="s">
        <v>24</v>
      </c>
      <c r="F189" s="20">
        <v>80</v>
      </c>
      <c r="G189" s="21">
        <v>80</v>
      </c>
      <c r="H189" s="21">
        <v>86</v>
      </c>
      <c r="I189" s="22">
        <f t="shared" si="5"/>
        <v>81</v>
      </c>
      <c r="J189" s="19" t="s">
        <v>705</v>
      </c>
    </row>
    <row r="190" spans="1:10" ht="33.950000000000003" customHeight="1" x14ac:dyDescent="0.25">
      <c r="A190" s="15">
        <v>189</v>
      </c>
      <c r="B190" s="15" t="s">
        <v>1015</v>
      </c>
      <c r="C190" s="15" t="s">
        <v>43</v>
      </c>
      <c r="D190" s="15" t="s">
        <v>1016</v>
      </c>
      <c r="E190" s="15" t="s">
        <v>24</v>
      </c>
      <c r="F190" s="16">
        <v>80</v>
      </c>
      <c r="G190" s="17">
        <v>80</v>
      </c>
      <c r="H190" s="17">
        <v>86</v>
      </c>
      <c r="I190" s="18">
        <f t="shared" si="5"/>
        <v>81</v>
      </c>
      <c r="J190" s="15" t="s">
        <v>705</v>
      </c>
    </row>
    <row r="191" spans="1:10" ht="33.950000000000003" customHeight="1" x14ac:dyDescent="0.25">
      <c r="A191" s="19">
        <v>190</v>
      </c>
      <c r="B191" s="19" t="s">
        <v>1017</v>
      </c>
      <c r="C191" s="19" t="s">
        <v>33</v>
      </c>
      <c r="D191" s="19" t="s">
        <v>1018</v>
      </c>
      <c r="E191" s="19" t="s">
        <v>24</v>
      </c>
      <c r="F191" s="20">
        <v>80</v>
      </c>
      <c r="G191" s="21">
        <v>80</v>
      </c>
      <c r="H191" s="21">
        <v>86</v>
      </c>
      <c r="I191" s="22">
        <f t="shared" si="5"/>
        <v>81</v>
      </c>
      <c r="J191" s="19" t="s">
        <v>705</v>
      </c>
    </row>
    <row r="192" spans="1:10" ht="33.950000000000003" customHeight="1" x14ac:dyDescent="0.25">
      <c r="A192" s="15">
        <v>191</v>
      </c>
      <c r="B192" s="15" t="s">
        <v>1019</v>
      </c>
      <c r="C192" s="15" t="s">
        <v>58</v>
      </c>
      <c r="D192" s="15" t="s">
        <v>1020</v>
      </c>
      <c r="E192" s="15" t="s">
        <v>24</v>
      </c>
      <c r="F192" s="16">
        <v>79</v>
      </c>
      <c r="G192" s="17">
        <v>79</v>
      </c>
      <c r="H192" s="17">
        <v>85</v>
      </c>
      <c r="I192" s="18">
        <f t="shared" si="5"/>
        <v>80</v>
      </c>
      <c r="J192" s="15" t="s">
        <v>705</v>
      </c>
    </row>
    <row r="193" spans="1:10" ht="33.950000000000003" customHeight="1" x14ac:dyDescent="0.25">
      <c r="A193" s="19">
        <v>192</v>
      </c>
      <c r="B193" s="19" t="s">
        <v>1021</v>
      </c>
      <c r="C193" s="19" t="s">
        <v>201</v>
      </c>
      <c r="D193" s="19" t="s">
        <v>933</v>
      </c>
      <c r="E193" s="19" t="s">
        <v>24</v>
      </c>
      <c r="F193" s="20">
        <v>79</v>
      </c>
      <c r="G193" s="21">
        <v>79</v>
      </c>
      <c r="H193" s="21">
        <v>85</v>
      </c>
      <c r="I193" s="22">
        <f t="shared" si="5"/>
        <v>80</v>
      </c>
      <c r="J193" s="19" t="s">
        <v>705</v>
      </c>
    </row>
    <row r="194" spans="1:10" ht="33.950000000000003" customHeight="1" x14ac:dyDescent="0.25">
      <c r="A194" s="15">
        <v>193</v>
      </c>
      <c r="B194" s="15" t="s">
        <v>1022</v>
      </c>
      <c r="C194" s="15" t="s">
        <v>41</v>
      </c>
      <c r="D194" s="15" t="s">
        <v>704</v>
      </c>
      <c r="E194" s="15" t="s">
        <v>24</v>
      </c>
      <c r="F194" s="16">
        <v>79</v>
      </c>
      <c r="G194" s="17">
        <v>79</v>
      </c>
      <c r="H194" s="17">
        <v>85</v>
      </c>
      <c r="I194" s="18">
        <f t="shared" ref="I194:I225" si="6">ROUND(F194*0.55+G194*0.3+H194*0.15,0)</f>
        <v>80</v>
      </c>
      <c r="J194" s="15" t="s">
        <v>705</v>
      </c>
    </row>
    <row r="195" spans="1:10" ht="33.950000000000003" customHeight="1" x14ac:dyDescent="0.25">
      <c r="A195" s="19">
        <v>194</v>
      </c>
      <c r="B195" s="19" t="s">
        <v>1023</v>
      </c>
      <c r="C195" s="19" t="s">
        <v>43</v>
      </c>
      <c r="D195" s="19" t="s">
        <v>1024</v>
      </c>
      <c r="E195" s="19" t="s">
        <v>24</v>
      </c>
      <c r="F195" s="20">
        <v>79</v>
      </c>
      <c r="G195" s="21">
        <v>79</v>
      </c>
      <c r="H195" s="21">
        <v>85</v>
      </c>
      <c r="I195" s="22">
        <f t="shared" si="6"/>
        <v>80</v>
      </c>
      <c r="J195" s="19" t="s">
        <v>705</v>
      </c>
    </row>
    <row r="196" spans="1:10" ht="33.950000000000003" customHeight="1" x14ac:dyDescent="0.25">
      <c r="A196" s="15">
        <v>195</v>
      </c>
      <c r="B196" s="15" t="s">
        <v>1025</v>
      </c>
      <c r="C196" s="15" t="s">
        <v>192</v>
      </c>
      <c r="D196" s="15" t="s">
        <v>1026</v>
      </c>
      <c r="E196" s="15" t="s">
        <v>24</v>
      </c>
      <c r="F196" s="16">
        <v>79</v>
      </c>
      <c r="G196" s="17">
        <v>79</v>
      </c>
      <c r="H196" s="17">
        <v>85</v>
      </c>
      <c r="I196" s="18">
        <f t="shared" si="6"/>
        <v>80</v>
      </c>
      <c r="J196" s="15" t="s">
        <v>705</v>
      </c>
    </row>
    <row r="197" spans="1:10" ht="33.950000000000003" customHeight="1" x14ac:dyDescent="0.25">
      <c r="A197" s="19">
        <v>196</v>
      </c>
      <c r="B197" s="19" t="s">
        <v>1027</v>
      </c>
      <c r="C197" s="19" t="s">
        <v>33</v>
      </c>
      <c r="D197" s="19" t="s">
        <v>729</v>
      </c>
      <c r="E197" s="19" t="s">
        <v>24</v>
      </c>
      <c r="F197" s="20">
        <v>79</v>
      </c>
      <c r="G197" s="21">
        <v>79</v>
      </c>
      <c r="H197" s="21">
        <v>85</v>
      </c>
      <c r="I197" s="22">
        <f t="shared" si="6"/>
        <v>80</v>
      </c>
      <c r="J197" s="19" t="s">
        <v>705</v>
      </c>
    </row>
    <row r="198" spans="1:10" ht="33.950000000000003" customHeight="1" x14ac:dyDescent="0.25">
      <c r="A198" s="15">
        <v>197</v>
      </c>
      <c r="B198" s="15" t="s">
        <v>1028</v>
      </c>
      <c r="C198" s="15" t="s">
        <v>43</v>
      </c>
      <c r="D198" s="15" t="s">
        <v>729</v>
      </c>
      <c r="E198" s="15" t="s">
        <v>24</v>
      </c>
      <c r="F198" s="16">
        <v>79</v>
      </c>
      <c r="G198" s="17">
        <v>79</v>
      </c>
      <c r="H198" s="17">
        <v>85</v>
      </c>
      <c r="I198" s="18">
        <f t="shared" si="6"/>
        <v>80</v>
      </c>
      <c r="J198" s="15" t="s">
        <v>705</v>
      </c>
    </row>
    <row r="199" spans="1:10" ht="33.950000000000003" customHeight="1" x14ac:dyDescent="0.25">
      <c r="A199" s="19">
        <v>198</v>
      </c>
      <c r="B199" s="19" t="s">
        <v>1029</v>
      </c>
      <c r="C199" s="19" t="s">
        <v>50</v>
      </c>
      <c r="D199" s="19" t="s">
        <v>870</v>
      </c>
      <c r="E199" s="19" t="s">
        <v>24</v>
      </c>
      <c r="F199" s="20">
        <v>79</v>
      </c>
      <c r="G199" s="21">
        <v>79</v>
      </c>
      <c r="H199" s="21">
        <v>85</v>
      </c>
      <c r="I199" s="22">
        <f t="shared" si="6"/>
        <v>80</v>
      </c>
      <c r="J199" s="19" t="s">
        <v>705</v>
      </c>
    </row>
    <row r="200" spans="1:10" ht="33.950000000000003" customHeight="1" x14ac:dyDescent="0.25">
      <c r="A200" s="15">
        <v>199</v>
      </c>
      <c r="B200" s="15" t="s">
        <v>1030</v>
      </c>
      <c r="C200" s="15" t="s">
        <v>56</v>
      </c>
      <c r="D200" s="15" t="s">
        <v>1031</v>
      </c>
      <c r="E200" s="15" t="s">
        <v>24</v>
      </c>
      <c r="F200" s="16">
        <v>79</v>
      </c>
      <c r="G200" s="17">
        <v>79</v>
      </c>
      <c r="H200" s="17">
        <v>85</v>
      </c>
      <c r="I200" s="18">
        <f t="shared" si="6"/>
        <v>80</v>
      </c>
      <c r="J200" s="15" t="s">
        <v>705</v>
      </c>
    </row>
    <row r="201" spans="1:10" ht="33.950000000000003" customHeight="1" x14ac:dyDescent="0.25">
      <c r="A201" s="19">
        <v>200</v>
      </c>
      <c r="B201" s="19" t="s">
        <v>1032</v>
      </c>
      <c r="C201" s="19" t="s">
        <v>43</v>
      </c>
      <c r="D201" s="19" t="s">
        <v>1033</v>
      </c>
      <c r="E201" s="19" t="s">
        <v>24</v>
      </c>
      <c r="F201" s="20">
        <v>79</v>
      </c>
      <c r="G201" s="21">
        <v>79</v>
      </c>
      <c r="H201" s="21">
        <v>85</v>
      </c>
      <c r="I201" s="22">
        <f t="shared" si="6"/>
        <v>80</v>
      </c>
      <c r="J201" s="19" t="s">
        <v>705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workbookViewId="0"/>
  </sheetViews>
  <sheetFormatPr defaultRowHeight="15" x14ac:dyDescent="0.25"/>
  <cols>
    <col min="1" max="1" width="24" customWidth="1"/>
    <col min="2" max="2" width="115" customWidth="1"/>
  </cols>
  <sheetData>
    <row r="1" spans="1:5" ht="21" x14ac:dyDescent="0.35">
      <c r="A1" s="24" t="s">
        <v>1034</v>
      </c>
      <c r="B1" s="25"/>
      <c r="C1" s="25"/>
      <c r="D1" s="25"/>
      <c r="E1" s="25"/>
    </row>
    <row r="2" spans="1:5" x14ac:dyDescent="0.25">
      <c r="A2" s="1" t="s">
        <v>1035</v>
      </c>
      <c r="B2" s="1" t="s">
        <v>1036</v>
      </c>
      <c r="C2" s="1"/>
      <c r="D2" s="1"/>
      <c r="E2" s="1"/>
    </row>
    <row r="3" spans="1:5" x14ac:dyDescent="0.25">
      <c r="A3" s="23" t="s">
        <v>1037</v>
      </c>
      <c r="B3" s="23" t="s">
        <v>1038</v>
      </c>
      <c r="C3" s="23"/>
      <c r="D3" s="23"/>
      <c r="E3" s="23"/>
    </row>
    <row r="4" spans="1:5" x14ac:dyDescent="0.25">
      <c r="A4" s="23" t="s">
        <v>1039</v>
      </c>
      <c r="B4" s="23" t="s">
        <v>1040</v>
      </c>
      <c r="C4" s="23"/>
      <c r="D4" s="23"/>
      <c r="E4" s="23"/>
    </row>
    <row r="5" spans="1:5" x14ac:dyDescent="0.25">
      <c r="A5" s="23" t="s">
        <v>1041</v>
      </c>
      <c r="B5" s="23" t="s">
        <v>1042</v>
      </c>
      <c r="C5" s="23"/>
      <c r="D5" s="23"/>
      <c r="E5" s="23"/>
    </row>
    <row r="6" spans="1:5" x14ac:dyDescent="0.25">
      <c r="A6" s="23" t="s">
        <v>1043</v>
      </c>
      <c r="B6" s="23" t="s">
        <v>1044</v>
      </c>
      <c r="C6" s="23"/>
      <c r="D6" s="23"/>
      <c r="E6" s="23"/>
    </row>
    <row r="7" spans="1:5" x14ac:dyDescent="0.25">
      <c r="A7" s="23" t="s">
        <v>1045</v>
      </c>
      <c r="B7" s="23" t="s">
        <v>1046</v>
      </c>
      <c r="C7" s="23"/>
      <c r="D7" s="23"/>
      <c r="E7" s="23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/>
  </sheetViews>
  <sheetFormatPr defaultRowHeight="15" x14ac:dyDescent="0.25"/>
  <cols>
    <col min="1" max="1" width="14" customWidth="1"/>
    <col min="2" max="2" width="38" customWidth="1"/>
    <col min="3" max="3" width="82" customWidth="1"/>
    <col min="4" max="4" width="62" customWidth="1"/>
  </cols>
  <sheetData>
    <row r="1" spans="1:4" ht="21" x14ac:dyDescent="0.35">
      <c r="A1" s="24" t="s">
        <v>1047</v>
      </c>
      <c r="B1" s="25"/>
      <c r="C1" s="25"/>
      <c r="D1" s="25"/>
    </row>
    <row r="2" spans="1:4" x14ac:dyDescent="0.25">
      <c r="A2" s="1" t="s">
        <v>1</v>
      </c>
      <c r="B2" s="1" t="s">
        <v>1048</v>
      </c>
      <c r="C2" s="1" t="s">
        <v>1049</v>
      </c>
      <c r="D2" s="1" t="s">
        <v>1050</v>
      </c>
    </row>
    <row r="3" spans="1:4" x14ac:dyDescent="0.25">
      <c r="A3" s="23" t="s">
        <v>1051</v>
      </c>
      <c r="B3" s="23" t="s">
        <v>1052</v>
      </c>
      <c r="C3" s="23" t="s">
        <v>1053</v>
      </c>
      <c r="D3" s="23" t="s">
        <v>1054</v>
      </c>
    </row>
    <row r="4" spans="1:4" ht="30" x14ac:dyDescent="0.25">
      <c r="A4" s="23" t="s">
        <v>1051</v>
      </c>
      <c r="B4" s="23" t="s">
        <v>1055</v>
      </c>
      <c r="C4" s="23" t="s">
        <v>1056</v>
      </c>
      <c r="D4" s="23" t="s">
        <v>1057</v>
      </c>
    </row>
    <row r="5" spans="1:4" x14ac:dyDescent="0.25">
      <c r="A5" s="23" t="s">
        <v>8</v>
      </c>
      <c r="B5" s="23" t="s">
        <v>1058</v>
      </c>
      <c r="C5" s="23" t="s">
        <v>1059</v>
      </c>
      <c r="D5" s="23" t="s">
        <v>1060</v>
      </c>
    </row>
    <row r="6" spans="1:4" x14ac:dyDescent="0.25">
      <c r="A6" s="23" t="s">
        <v>9</v>
      </c>
      <c r="B6" s="23" t="s">
        <v>1061</v>
      </c>
      <c r="C6" s="23" t="s">
        <v>1062</v>
      </c>
      <c r="D6" s="23" t="s">
        <v>1060</v>
      </c>
    </row>
    <row r="7" spans="1:4" x14ac:dyDescent="0.25">
      <c r="A7" s="23" t="s">
        <v>10</v>
      </c>
      <c r="B7" s="23" t="s">
        <v>1063</v>
      </c>
      <c r="C7" s="23" t="s">
        <v>1064</v>
      </c>
      <c r="D7" s="23" t="s">
        <v>1060</v>
      </c>
    </row>
  </sheetData>
  <mergeCells count="1"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La Liga</vt:lpstr>
      <vt:lpstr>Serie A</vt:lpstr>
      <vt:lpstr>Ligue 1</vt:lpstr>
      <vt:lpstr>Methodology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Argile, Daven</dc:creator>
  <cp:keywords/>
  <dc:description/>
  <cp:lastModifiedBy>Argile, Daven</cp:lastModifiedBy>
  <cp:revision/>
  <dcterms:created xsi:type="dcterms:W3CDTF">2026-07-28T10:40:03Z</dcterms:created>
  <dcterms:modified xsi:type="dcterms:W3CDTF">2026-07-28T10:44:26Z</dcterms:modified>
  <cp:category/>
  <cp:contentStatus/>
</cp:coreProperties>
</file>