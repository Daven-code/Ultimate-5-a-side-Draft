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ven.Argile\Documents\fifa-5aside-game\"/>
    </mc:Choice>
  </mc:AlternateContent>
  <xr:revisionPtr revIDLastSave="0" documentId="8_{FCD03096-4A6C-4E65-A32B-1C64186EAD63}" xr6:coauthVersionLast="47" xr6:coauthVersionMax="47" xr10:uidLastSave="{00000000-0000-0000-0000-000000000000}"/>
  <bookViews>
    <workbookView xWindow="-28920" yWindow="-120" windowWidth="29040" windowHeight="15720" firstSheet="1" activeTab="6" xr2:uid="{00000000-000D-0000-FFFF-FFFF00000000}"/>
  </bookViews>
  <sheets>
    <sheet name="Summary" sheetId="1" r:id="rId1"/>
    <sheet name="Premier League" sheetId="2" r:id="rId2"/>
    <sheet name="La Liga" sheetId="3" r:id="rId3"/>
    <sheet name="Serie A" sheetId="4" r:id="rId4"/>
    <sheet name="Ligue 1" sheetId="5" r:id="rId5"/>
    <sheet name="Bundesliga" sheetId="6" r:id="rId6"/>
    <sheet name="Position Tracking" sheetId="7" r:id="rId7"/>
    <sheet name="Methodology" sheetId="8" r:id="rId8"/>
    <sheet name="Sources" sheetId="9" r:id="rId9"/>
    <sheet name="Date Update Notes" sheetId="10" r:id="rId10"/>
  </sheet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1" i="6" l="1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G6" i="1"/>
  <c r="F6" i="1"/>
  <c r="C6" i="1"/>
  <c r="B6" i="1"/>
  <c r="G5" i="1"/>
  <c r="F5" i="1"/>
  <c r="C5" i="1"/>
  <c r="B5" i="1"/>
  <c r="G4" i="1"/>
  <c r="F4" i="1"/>
  <c r="C4" i="1"/>
  <c r="B4" i="1"/>
  <c r="G3" i="1"/>
  <c r="F3" i="1"/>
  <c r="C3" i="1"/>
  <c r="B3" i="1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E5" i="1" l="1"/>
  <c r="E6" i="1"/>
  <c r="E4" i="1"/>
  <c r="D5" i="1"/>
  <c r="D3" i="1"/>
  <c r="D4" i="1"/>
  <c r="E3" i="1"/>
  <c r="D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I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Overall Rating is calculated from Prime Score (55%), Legacy Score (30%) and Longevity Score (15%). See Methodology sheet.</t>
        </r>
      </text>
    </comment>
    <comment ref="E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Corrected from 2017-present to Liverpool: 2017-2026 because he leaves Liverpool at the end of 2025-26.</t>
        </r>
      </text>
    </comment>
    <comment ref="E9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Corrected from 2015-present to Manchester City: 2015-2025 after his 2025 Napoli move.</t>
        </r>
      </text>
    </comment>
    <comment ref="E42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Corrected to Tottenham: 2015-2025 after 2025 exit from Spurs.</t>
        </r>
      </text>
    </comment>
    <comment ref="E65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Corrected to Liverpool: 2016-2025 after 2025 Real Madrid move.</t>
        </r>
      </text>
    </comment>
    <comment ref="E68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Corrected to Tottenham: 2009-2017; Manchester City: 2017-2025 after 2025 Milan/Burnley exit.</t>
        </r>
      </text>
    </comment>
  </commentList>
</comments>
</file>

<file path=xl/sharedStrings.xml><?xml version="1.0" encoding="utf-8"?>
<sst xmlns="http://schemas.openxmlformats.org/spreadsheetml/2006/main" count="6636" uniqueCount="2604">
  <si>
    <t>Rank</t>
  </si>
  <si>
    <t>Player</t>
  </si>
  <si>
    <t>Primary Position</t>
  </si>
  <si>
    <t>Main Premier League Club(s)</t>
  </si>
  <si>
    <t>League Club Spell(s)</t>
  </si>
  <si>
    <t>Prime Score</t>
  </si>
  <si>
    <t>Legacy Score</t>
  </si>
  <si>
    <t>Longevity Score</t>
  </si>
  <si>
    <t>Overall Rating</t>
  </si>
  <si>
    <t>Short rationale</t>
  </si>
  <si>
    <t>Date status</t>
  </si>
  <si>
    <t>Thierry Henry</t>
  </si>
  <si>
    <t>ST/LW</t>
  </si>
  <si>
    <t>Arsenal</t>
  </si>
  <si>
    <t>Arsenal: 1999-2007, 2012</t>
  </si>
  <si>
    <t>Peak-level all-round forward: goals, assists, aura and Invincibles legacy.</t>
  </si>
  <si>
    <t>High confidence</t>
  </si>
  <si>
    <t>Alan Shearer</t>
  </si>
  <si>
    <t>ST</t>
  </si>
  <si>
    <t>Blackburn Rovers, Newcastle United</t>
  </si>
  <si>
    <t>Blackburn Rovers: 1992-1996; Newcastle United: 1996-2006</t>
  </si>
  <si>
    <t>Premier League benchmark goalscorer and title winner with Blackburn.</t>
  </si>
  <si>
    <t>Mohamed Salah</t>
  </si>
  <si>
    <t>RW</t>
  </si>
  <si>
    <t>Liverpool</t>
  </si>
  <si>
    <t>Liverpool: 2017-2026</t>
  </si>
  <si>
    <t>Record-breaking wide forward with elite output, consistency and title-winning legacy.</t>
  </si>
  <si>
    <t>Steven Gerrard</t>
  </si>
  <si>
    <t>CM/AM</t>
  </si>
  <si>
    <t>Liverpool: 1998-2015</t>
  </si>
  <si>
    <t>Complete talismanic midfielder with iconic peak and extraordinary influence.</t>
  </si>
  <si>
    <t>Wayne Rooney</t>
  </si>
  <si>
    <t>ST/SS/AM</t>
  </si>
  <si>
    <t>Everton, Manchester United</t>
  </si>
  <si>
    <t>Everton: 2002-2004, 2017-2018; Manchester United: 2004-2017</t>
  </si>
  <si>
    <t>Teenage phenomenon turned complete forward and all-time great league contributor.</t>
  </si>
  <si>
    <t>Frank Lampard</t>
  </si>
  <si>
    <t>CM</t>
  </si>
  <si>
    <t>West Ham United, Chelsea, Manchester City</t>
  </si>
  <si>
    <t>West Ham United: 1995-2001; Chelsea: 2001-2014; Manchester City: 2014-2015</t>
  </si>
  <si>
    <t>Unmatched goalscoring midfielder with huge longevity and Chelsea dynasty legacy.</t>
  </si>
  <si>
    <t>Cristiano Ronaldo</t>
  </si>
  <si>
    <t>RW/LW/ST</t>
  </si>
  <si>
    <t>Manchester United</t>
  </si>
  <si>
    <t>Manchester United: 2003-2009, 2021-2022</t>
  </si>
  <si>
    <t>Devastating 2006-09 prime, Ballon d Or-level peak and global superstar status.</t>
  </si>
  <si>
    <t>Kevin De Bruyne</t>
  </si>
  <si>
    <t>Manchester City</t>
  </si>
  <si>
    <t>Manchester City: 2015-2025</t>
  </si>
  <si>
    <t>Premier League-defining creator in Guardiola-era City, with longevity at elite level.</t>
  </si>
  <si>
    <t>Roy Keane</t>
  </si>
  <si>
    <t>Nottingham Forest, Manchester United</t>
  </si>
  <si>
    <t>Nottingham Forest: 1992-1993; Manchester United: 1993-2005</t>
  </si>
  <si>
    <t>Dominant leader and competitive heartbeat of Manchester United supremacy.</t>
  </si>
  <si>
    <t>Sergio Aguero</t>
  </si>
  <si>
    <t>Manchester City: 2011-2021</t>
  </si>
  <si>
    <t>Elite finisher, iconic title moment and long spell as City talisman.</t>
  </si>
  <si>
    <t>Paul Scholes</t>
  </si>
  <si>
    <t>Manchester United: 1994-2013</t>
  </si>
  <si>
    <t>Peer-revered midfield controller with elite technique and trophy legacy.</t>
  </si>
  <si>
    <t>Existing era carried over</t>
  </si>
  <si>
    <t>John Terry</t>
  </si>
  <si>
    <t>CB</t>
  </si>
  <si>
    <t>Chelsea</t>
  </si>
  <si>
    <t>Chelsea: 1998-2017</t>
  </si>
  <si>
    <t>Premier League era defensive leader and captain of elite Chelsea sides.</t>
  </si>
  <si>
    <t>Eric Cantona</t>
  </si>
  <si>
    <t>SS</t>
  </si>
  <si>
    <t>Leeds United, Manchester United</t>
  </si>
  <si>
    <t>Leeds United, Manchester United: 1992-1997</t>
  </si>
  <si>
    <t>Transformational figure with enormous aura and a short but era-defining prime.</t>
  </si>
  <si>
    <t>Virgil van Dijk</t>
  </si>
  <si>
    <t>Southampton, Liverpool</t>
  </si>
  <si>
    <t>Southampton: 2015-2018; Liverpool: 2018-present</t>
  </si>
  <si>
    <t>Monumental Liverpool peak, Champions League and Premier League title-era defender.</t>
  </si>
  <si>
    <t>Patrick Vieira</t>
  </si>
  <si>
    <t>Arsenal, Manchester City</t>
  </si>
  <si>
    <t>Arsenal, Manchester City: 1996-2005, 2009-2011</t>
  </si>
  <si>
    <t>Prototype dominant Premier League midfielder and Invincibles captain.</t>
  </si>
  <si>
    <t>David Silva</t>
  </si>
  <si>
    <t>AM/CM</t>
  </si>
  <si>
    <t>Manchester City: 2010-2020</t>
  </si>
  <si>
    <t>Supreme playmaker who shaped Citys possession era with sustained brilliance.</t>
  </si>
  <si>
    <t>Dennis Bergkamp</t>
  </si>
  <si>
    <t>SS/AM</t>
  </si>
  <si>
    <t>Arsenal: 1995-2006</t>
  </si>
  <si>
    <t>Technically sublime forward and cultural pillar of Wengers Arsenal.</t>
  </si>
  <si>
    <t>Harry Kane</t>
  </si>
  <si>
    <t>Tottenham Hotspur</t>
  </si>
  <si>
    <t>Tottenham Hotspur: 2012-2023</t>
  </si>
  <si>
    <t>Complete striker/playmaker and one of the leagues greatest goalscorers.</t>
  </si>
  <si>
    <t>Rio Ferdinand</t>
  </si>
  <si>
    <t>West Ham, Leeds, Manchester United, QPR</t>
  </si>
  <si>
    <t>West Ham, Leeds, Manchester United, QPR: 1995-2015</t>
  </si>
  <si>
    <t>Ball-playing centre-back standard-setter with major title-winning pedigree.</t>
  </si>
  <si>
    <t>Petr Cech</t>
  </si>
  <si>
    <t>GK</t>
  </si>
  <si>
    <t>Chelsea, Arsenal</t>
  </si>
  <si>
    <t>Chelsea: 2004-2015; Arsenal: 2015-2019</t>
  </si>
  <si>
    <t>Clean-sheet standard-setter and key part of record-breaking Chelsea defence.</t>
  </si>
  <si>
    <t>Ryan Giggs</t>
  </si>
  <si>
    <t>LW/CM</t>
  </si>
  <si>
    <t>Manchester United: 1992-2014</t>
  </si>
  <si>
    <t>Longevity king and creative pillar through multiple United eras.</t>
  </si>
  <si>
    <t>Eden Hazard</t>
  </si>
  <si>
    <t>LW</t>
  </si>
  <si>
    <t>Chelsea: 2012-2019</t>
  </si>
  <si>
    <t>Premier League Player of the Season peak with dazzling match-winning ability.</t>
  </si>
  <si>
    <t>Peter Schmeichel</t>
  </si>
  <si>
    <t>Manchester United, Aston Villa, Manchester City</t>
  </si>
  <si>
    <t>Manchester United, Aston Villa, Manchester City: 1992-1999, 2001-2003</t>
  </si>
  <si>
    <t>Commanding goalkeeper and dominant figure in early Premier League United.</t>
  </si>
  <si>
    <t>Ashley Cole</t>
  </si>
  <si>
    <t>LB</t>
  </si>
  <si>
    <t>Arsenal, Chelsea</t>
  </si>
  <si>
    <t>Arsenal: 1999-2006; Chelsea: 2006-2014</t>
  </si>
  <si>
    <t>Arguably the Premier Leagues greatest left-back, elite in two title-winning clubs.</t>
  </si>
  <si>
    <t>Robin van Persie</t>
  </si>
  <si>
    <t>Arsenal, Manchester United</t>
  </si>
  <si>
    <t>Arsenal, Manchester United: 2004-2015</t>
  </si>
  <si>
    <t>World-class striker peak and decisive title-winning season at United.</t>
  </si>
  <si>
    <t>N Golo Kante</t>
  </si>
  <si>
    <t>DM/CM</t>
  </si>
  <si>
    <t>Leicester City, Chelsea</t>
  </si>
  <si>
    <t>Leicester City, Chelsea: 2015-2023</t>
  </si>
  <si>
    <t>Back-to-back title engine and elite ball-winning midfielder.</t>
  </si>
  <si>
    <t>Didier Drogba</t>
  </si>
  <si>
    <t>Chelsea: 2004-2012, 2014-2015</t>
  </si>
  <si>
    <t>Big-game striker and focal point of Chelseas first Premier League dynasty.</t>
  </si>
  <si>
    <t>Cesc Fabregas</t>
  </si>
  <si>
    <t>Arsenal, Chelsea: 2004-2011, 2014-2019</t>
  </si>
  <si>
    <t>Creative midfield prodigy and assist machine with titles at Chelsea.</t>
  </si>
  <si>
    <t>Sol Campbell</t>
  </si>
  <si>
    <t>Tottenham Hotspur, Arsenal, Portsmouth, Newcastle</t>
  </si>
  <si>
    <t>Tottenham Hotspur, Arsenal, Portsmouth, Newcastle: 1992-2011</t>
  </si>
  <si>
    <t>Elite centre-back with longevity and Invincibles legacy.</t>
  </si>
  <si>
    <t>Rodri</t>
  </si>
  <si>
    <t>DM</t>
  </si>
  <si>
    <t>Manchester City: 2019-present</t>
  </si>
  <si>
    <t>Premier control midfielder of modern Citys dominance with elite peak.</t>
  </si>
  <si>
    <t>Yaya Toure</t>
  </si>
  <si>
    <t>Manchester City: 2010-2018</t>
  </si>
  <si>
    <t>Unstoppable midfield peak and central force in Citys rise.</t>
  </si>
  <si>
    <t>Nemanja Vidic</t>
  </si>
  <si>
    <t>Manchester United: 2006-2014</t>
  </si>
  <si>
    <t>Dominant physical defender and serial title winner.</t>
  </si>
  <si>
    <t>Michael Owen</t>
  </si>
  <si>
    <t>Liverpool, Newcastle, Man United, Stoke</t>
  </si>
  <si>
    <t>Liverpool, Newcastle, Man United, Stoke: 1996-2013</t>
  </si>
  <si>
    <t>Explosive young goalscorer and Golden Boot-level Liverpool star.</t>
  </si>
  <si>
    <t>Vincent Kompany</t>
  </si>
  <si>
    <t>Manchester City: 2008-2019</t>
  </si>
  <si>
    <t>Captain and defensive symbol of Manchester Citys modern era.</t>
  </si>
  <si>
    <t>Andrew Cole</t>
  </si>
  <si>
    <t>Newcastle, Manchester United and others</t>
  </si>
  <si>
    <t>Newcastle, Manchester United and others: 1993-2008</t>
  </si>
  <si>
    <t>Prolific striker across eras and key United treble contributor.</t>
  </si>
  <si>
    <t>Luis Suarez</t>
  </si>
  <si>
    <t>Liverpool: 2011-2014</t>
  </si>
  <si>
    <t>One of the highest single-player peaks in league history despite short stay.</t>
  </si>
  <si>
    <t>Ruud van Nistelrooy</t>
  </si>
  <si>
    <t>Manchester United: 2001-2006</t>
  </si>
  <si>
    <t>Ruthless penalty-box striker with outstanding goals-per-game peak.</t>
  </si>
  <si>
    <t>Robert Pires</t>
  </si>
  <si>
    <t>LW/AM</t>
  </si>
  <si>
    <t>Arsenal, Aston Villa</t>
  </si>
  <si>
    <t>Arsenal, Aston Villa: 2000-2006, 2010-2011</t>
  </si>
  <si>
    <t>Elegant, productive midfielder in Arsenals greatest attacking sides.</t>
  </si>
  <si>
    <t>Alisson Becker</t>
  </si>
  <si>
    <t>Liverpool: 2018-present</t>
  </si>
  <si>
    <t>Modern elite goalkeeper and game-changing presence in Liverpool success.</t>
  </si>
  <si>
    <t>Sadio Mane</t>
  </si>
  <si>
    <t>LW/RW</t>
  </si>
  <si>
    <t>Southampton, Liverpool: 2014-2022</t>
  </si>
  <si>
    <t>Explosive forward and key act in Liverpools title-winning front three.</t>
  </si>
  <si>
    <t>Son Heung-min</t>
  </si>
  <si>
    <t>LW/ST</t>
  </si>
  <si>
    <t>Tottenham Hotspur: 2015-2025</t>
  </si>
  <si>
    <t>Consistent elite forward, Golden Boot winner and Spurs icon.</t>
  </si>
  <si>
    <t>David Beckham</t>
  </si>
  <si>
    <t>RM</t>
  </si>
  <si>
    <t>Manchester United: 1995-2003</t>
  </si>
  <si>
    <t>Crossing and set-piece icon within Uniteds treble-era machine.</t>
  </si>
  <si>
    <t>Tony Adams</t>
  </si>
  <si>
    <t>Arsenal: 1992-2002</t>
  </si>
  <si>
    <t>Leadership and defensive excellence bridging old Arsenal into Wenger era.</t>
  </si>
  <si>
    <t>David Seaman</t>
  </si>
  <si>
    <t>Arsenal, Manchester City: 1992-2004</t>
  </si>
  <si>
    <t>Reliable elite keeper through Arsenals early Premier League titles.</t>
  </si>
  <si>
    <t>Gareth Bale</t>
  </si>
  <si>
    <t>Tottenham Hotspur: 2007-2013, 2020-2021</t>
  </si>
  <si>
    <t>Electric individual peak at Spurs, including Player of the Season dominance.</t>
  </si>
  <si>
    <t>Riyad Mahrez</t>
  </si>
  <si>
    <t>Leicester City, Manchester City</t>
  </si>
  <si>
    <t>Leicester City, Manchester City: 2014-2023</t>
  </si>
  <si>
    <t>Leicester miracle creator and high-class City winger.</t>
  </si>
  <si>
    <t>Carlos Tevez</t>
  </si>
  <si>
    <t>ST/SS</t>
  </si>
  <si>
    <t>West Ham, Manchester United, Manchester City</t>
  </si>
  <si>
    <t>West Ham, Manchester United, Manchester City: 2006-2013</t>
  </si>
  <si>
    <t>Relentless forward with major impact at three clubs.</t>
  </si>
  <si>
    <t>Robbie Fowler</t>
  </si>
  <si>
    <t>Liverpool, Leeds, Man City, Blackburn</t>
  </si>
  <si>
    <t>Liverpool, Leeds, Man City, Blackburn: 1993-2009</t>
  </si>
  <si>
    <t>Instinctive Liverpool goalscorer with devastating early peak.</t>
  </si>
  <si>
    <t>Ian Wright</t>
  </si>
  <si>
    <t>Arsenal, West Ham United</t>
  </si>
  <si>
    <t>Arsenal, West Ham United: 1992-2000</t>
  </si>
  <si>
    <t>Arsenal icon and prolific early Premier League goalscorer.</t>
  </si>
  <si>
    <t>Jamie Vardy</t>
  </si>
  <si>
    <t>Leicester City</t>
  </si>
  <si>
    <t>Leicester City: 2014-present</t>
  </si>
  <si>
    <t>Late-blooming icon and title-winning striker with huge Leicester legacy.</t>
  </si>
  <si>
    <t>Dwight Yorke</t>
  </si>
  <si>
    <t>Aston Villa, Manchester United and others</t>
  </si>
  <si>
    <t>Aston Villa, Manchester United and others: 1992-2009</t>
  </si>
  <si>
    <t>Treble-winning striker with excellent Villa and United prime.</t>
  </si>
  <si>
    <t>Edwin van der Sar</t>
  </si>
  <si>
    <t>Fulham, Manchester United</t>
  </si>
  <si>
    <t>Fulham, Manchester United: 2001-2011</t>
  </si>
  <si>
    <t>Elite modern goalkeeper and key United defensive anchor.</t>
  </si>
  <si>
    <t>Jamie Carragher</t>
  </si>
  <si>
    <t>Liverpool: 1996-2013</t>
  </si>
  <si>
    <t>Durable Liverpool defensive leader with huge appearance longevity.</t>
  </si>
  <si>
    <t>Gary Neville</t>
  </si>
  <si>
    <t>RB</t>
  </si>
  <si>
    <t>Manchester United: 1992-2011</t>
  </si>
  <si>
    <t>One-club right-back and core member of Uniteds long title era.</t>
  </si>
  <si>
    <t>Michael Essien</t>
  </si>
  <si>
    <t>Chelsea: 2005-2014</t>
  </si>
  <si>
    <t>Powerful all-action midfielder in dominant Chelsea sides.</t>
  </si>
  <si>
    <t>David de Gea</t>
  </si>
  <si>
    <t>Manchester United: 2011-2023</t>
  </si>
  <si>
    <t>Outstanding shot-stopping peak and long United service.</t>
  </si>
  <si>
    <t>Claude Makelele</t>
  </si>
  <si>
    <t>Chelsea: 2003-2008</t>
  </si>
  <si>
    <t>Defined a defensive midfield role during Chelseas mid-2000s dominance.</t>
  </si>
  <si>
    <t>Mesut Ozil</t>
  </si>
  <si>
    <t>AM</t>
  </si>
  <si>
    <t>Arsenal: 2013-2021</t>
  </si>
  <si>
    <t>World-class creator with brilliant assist peak at Arsenal.</t>
  </si>
  <si>
    <t>Matt Le Tissier</t>
  </si>
  <si>
    <t>AM/SS</t>
  </si>
  <si>
    <t>Southampton</t>
  </si>
  <si>
    <t>Southampton: 1992-2002</t>
  </si>
  <si>
    <t>One-club genius with outrageous technique and cult status.</t>
  </si>
  <si>
    <t>Jimmy Floyd Hasselbaink</t>
  </si>
  <si>
    <t>Leeds, Chelsea, Middlesbrough, Charlton</t>
  </si>
  <si>
    <t>Leeds, Chelsea, Middlesbrough, Charlton: 1997-2007</t>
  </si>
  <si>
    <t>Explosive scorer and Golden Boot winner.</t>
  </si>
  <si>
    <t>Bruno Fernandes</t>
  </si>
  <si>
    <t>Manchester United: 2020-present</t>
  </si>
  <si>
    <t>High-output attacking midfielder and central United figure.</t>
  </si>
  <si>
    <t>Dimitar Berbatov</t>
  </si>
  <si>
    <t>Tottenham, Manchester United, Fulham</t>
  </si>
  <si>
    <t>Tottenham, Manchester United, Fulham: 2006-2014</t>
  </si>
  <si>
    <t>Magical touch and elite scoring peak, including Golden Boot season.</t>
  </si>
  <si>
    <t>Bernardo Silva</t>
  </si>
  <si>
    <t>CM/RW</t>
  </si>
  <si>
    <t>Manchester City: 2017-present</t>
  </si>
  <si>
    <t>Press-resistant technician and vital Guardiola-era chess piece.</t>
  </si>
  <si>
    <t>Trent Alexander-Arnold</t>
  </si>
  <si>
    <t>RB/CM</t>
  </si>
  <si>
    <t>Liverpool: 2016-2025</t>
  </si>
  <si>
    <t>Playmaking full-back who changed expectations for the position.</t>
  </si>
  <si>
    <t>Pepe Reina</t>
  </si>
  <si>
    <t>Liverpool, Aston Villa</t>
  </si>
  <si>
    <t>Liverpool, Aston Villa: 2005-2014, 2020</t>
  </si>
  <si>
    <t>Excellent distribution and shot-stopping, with strong clean-sheet record.</t>
  </si>
  <si>
    <t>Juan Mata</t>
  </si>
  <si>
    <t>AM/RW</t>
  </si>
  <si>
    <t>Chelsea, Manchester United</t>
  </si>
  <si>
    <t>Chelsea, Manchester United: 2011-2022</t>
  </si>
  <si>
    <t>Elegant creator and Chelsea Player of the Year-level playmaker.</t>
  </si>
  <si>
    <t>Kyle Walker</t>
  </si>
  <si>
    <t>Tottenham Hotspur, Manchester City</t>
  </si>
  <si>
    <t>Tottenham Hotspur: 2009-2017; Manchester City: 2017-2025</t>
  </si>
  <si>
    <t>Elite athletic full-back with major title-winning longevity.</t>
  </si>
  <si>
    <t>Marcus Rashford</t>
  </si>
  <si>
    <t>Manchester United: 2015-present</t>
  </si>
  <si>
    <t>Major United contributor with strong peaks and longevity.</t>
  </si>
  <si>
    <t>Joe Hart</t>
  </si>
  <si>
    <t>Manchester City, Birmingham, West Ham, Burnley, Tottenham</t>
  </si>
  <si>
    <t>Manchester City, Birmingham, West Ham, Burnley, Tottenham: 2009-2021</t>
  </si>
  <si>
    <t>Title-winning City goalkeeper and multiple Golden Glove winner.</t>
  </si>
  <si>
    <t>Raheem Sterling</t>
  </si>
  <si>
    <t>RW/LW</t>
  </si>
  <si>
    <t>Liverpool, Manchester City, Chelsea</t>
  </si>
  <si>
    <t>Liverpool: 2012-2015; Manchester City: 2015-2022; Chelsea: 2022-2025</t>
  </si>
  <si>
    <t>High-output winger and major figure in Citys dominant period.</t>
  </si>
  <si>
    <t>Jermain Defoe</t>
  </si>
  <si>
    <t>West Ham, Tottenham, Sunderland, Bournemouth</t>
  </si>
  <si>
    <t>West Ham, Tottenham, Sunderland, Bournemouth: 2001-2019</t>
  </si>
  <si>
    <t>Natural finisher with exceptional scoring longevity.</t>
  </si>
  <si>
    <t>Teddy Sheringham</t>
  </si>
  <si>
    <t>Tottenham, Manchester United, Portsmouth, West Ham</t>
  </si>
  <si>
    <t>Tottenham, Manchester United, Portsmouth, West Ham: 1992-2007</t>
  </si>
  <si>
    <t>Intelligent forward with title legacy and remarkable longevity.</t>
  </si>
  <si>
    <t>Gary Speed</t>
  </si>
  <si>
    <t>CM/LM</t>
  </si>
  <si>
    <t>Leeds, Everton, Newcastle, Bolton</t>
  </si>
  <si>
    <t>Leeds, Everton, Newcastle, Bolton: 1992-2010</t>
  </si>
  <si>
    <t>Model professional with huge longevity and high-level consistency.</t>
  </si>
  <si>
    <t>Gareth Barry</t>
  </si>
  <si>
    <t>CM/DM</t>
  </si>
  <si>
    <t>Aston Villa, Man City, Everton, West Brom</t>
  </si>
  <si>
    <t>Aston Villa, Man City, Everton, West Brom: 1997-2018</t>
  </si>
  <si>
    <t>Appearance record-holder-level longevity and title-winning midfielder.</t>
  </si>
  <si>
    <t>James Milner</t>
  </si>
  <si>
    <t>CM/FB/W</t>
  </si>
  <si>
    <t>Leeds, Newcastle, Aston Villa, Man City, Liverpool, Brighton</t>
  </si>
  <si>
    <t>Leeds United: 2002-2004; Newcastle United: 2004-2008; Aston Villa: 2008-2010; Manchester City: 2010-2015; Liverpool: 2015-2023; Brighton: 2023-present</t>
  </si>
  <si>
    <t>Ultimate Premier League longevity player with trophies and versatility.</t>
  </si>
  <si>
    <t>Fernando Torres</t>
  </si>
  <si>
    <t>Liverpool, Chelsea</t>
  </si>
  <si>
    <t>Liverpool, Chelsea: 2007-2014</t>
  </si>
  <si>
    <t>Electrifying Liverpool peak, one of the leagues scariest forwards.</t>
  </si>
  <si>
    <t>Alexis Sanchez</t>
  </si>
  <si>
    <t>Arsenal, Manchester United: 2014-2020</t>
  </si>
  <si>
    <t>Devastating Arsenal peak with relentless end product.</t>
  </si>
  <si>
    <t>David Ginola</t>
  </si>
  <si>
    <t>Newcastle, Tottenham, Aston Villa, Everton</t>
  </si>
  <si>
    <t>Newcastle, Tottenham, Aston Villa, Everton: 1995-2002</t>
  </si>
  <si>
    <t>Maverick winger with Player of the Year-level magic.</t>
  </si>
  <si>
    <t>Luka Modric</t>
  </si>
  <si>
    <t>Tottenham Hotspur: 2008-2012</t>
  </si>
  <si>
    <t>Elite midfield controller whose Premier League quality was obvious before Madrid.</t>
  </si>
  <si>
    <t>Juninho Paulista</t>
  </si>
  <si>
    <t>Middlesbrough</t>
  </si>
  <si>
    <t>Middlesbrough: 1995-1997, 1999-2000, 2002-2004</t>
  </si>
  <si>
    <t>Cult genius and one of the leagues most beloved creative imports.</t>
  </si>
  <si>
    <t>Xabi Alonso</t>
  </si>
  <si>
    <t>Liverpool: 2004-2009</t>
  </si>
  <si>
    <t>Classy deep playmaker and key Liverpool midfielder.</t>
  </si>
  <si>
    <t>Marcel Desailly</t>
  </si>
  <si>
    <t>Chelsea: 1998-2004</t>
  </si>
  <si>
    <t>World-class centre-back aura in early Abramovich-era Chelsea.</t>
  </si>
  <si>
    <t>Coutinho</t>
  </si>
  <si>
    <t>AM/LW</t>
  </si>
  <si>
    <t>Liverpool, Aston Villa: 2013-2018, 2022-2024</t>
  </si>
  <si>
    <t>Premier creative star at Liverpool with memorable goals and flair.</t>
  </si>
  <si>
    <t>Ricardo Carvalho</t>
  </si>
  <si>
    <t>Chelsea: 2004-2010</t>
  </si>
  <si>
    <t>Elegant, intelligent defender in Chelseas best defensive years.</t>
  </si>
  <si>
    <t>Andy Robertson</t>
  </si>
  <si>
    <t>Hull City, Liverpool</t>
  </si>
  <si>
    <t>Hull City, Liverpool: 2014-present</t>
  </si>
  <si>
    <t>Elite high-energy full-back and Liverpool title-era mainstay.</t>
  </si>
  <si>
    <t>Les Ferdinand</t>
  </si>
  <si>
    <t>QPR, Newcastle, Tottenham, West Ham, Leicester, Bolton</t>
  </si>
  <si>
    <t>QPR, Newcastle, Tottenham, West Ham, Leicester, Bolton: 1992-2005</t>
  </si>
  <si>
    <t>Powerful, prolific centre-forward with strong longevity.</t>
  </si>
  <si>
    <t>Nicolas Anelka</t>
  </si>
  <si>
    <t>Arsenal, Liverpool, Man City, Bolton, Chelsea, West Brom</t>
  </si>
  <si>
    <t>Arsenal, Liverpool, Man City, Bolton, Chelsea, West Brom: 1997-2014</t>
  </si>
  <si>
    <t>Classy, mobile striker with Golden Boot peak and long career.</t>
  </si>
  <si>
    <t>Cesar Azpilicueta</t>
  </si>
  <si>
    <t>RB/CB</t>
  </si>
  <si>
    <t>Chelsea: 2012-2023</t>
  </si>
  <si>
    <t>Defensive consistency, versatility and Chelsea captaincy legacy.</t>
  </si>
  <si>
    <t>Denis Irwin</t>
  </si>
  <si>
    <t>LB/RB</t>
  </si>
  <si>
    <t>Manchester United, Wolves</t>
  </si>
  <si>
    <t>Manchester United, Wolves: 1992-2004</t>
  </si>
  <si>
    <t>Consistent two-footed full-back and serial winner.</t>
  </si>
  <si>
    <t>Gianfranco Zola</t>
  </si>
  <si>
    <t>Chelsea: 1996-2003</t>
  </si>
  <si>
    <t>Magical Chelsea forward with enormous legacy despite shorter PL stay.</t>
  </si>
  <si>
    <t>Ledley King</t>
  </si>
  <si>
    <t>Tottenham Hotspur: 1999-2012</t>
  </si>
  <si>
    <t>Outstanding defender when fit, limited by injuries.</t>
  </si>
  <si>
    <t>Kevin Phillips</t>
  </si>
  <si>
    <t>Sunderland, Southampton, Aston Villa, Birmingham, Crystal Palace</t>
  </si>
  <si>
    <t>Sunderland, Southampton, Aston Villa, Birmingham, Crystal Palace: 1999-2014</t>
  </si>
  <si>
    <t>Golden Boot-winning peak and huge cult status.</t>
  </si>
  <si>
    <t>Steve McManaman</t>
  </si>
  <si>
    <t>Liverpool, Manchester City</t>
  </si>
  <si>
    <t>Liverpool, Manchester City: 1992-1999, 2003-2005</t>
  </si>
  <si>
    <t>Electric Liverpool creator and iconic 90s Premier League winger.</t>
  </si>
  <si>
    <t>Paolo Di Canio</t>
  </si>
  <si>
    <t>FW</t>
  </si>
  <si>
    <t>Sheffield Wednesday, West Ham, Charlton</t>
  </si>
  <si>
    <t>Sheffield Wednesday, West Ham, Charlton: 1997-2004</t>
  </si>
  <si>
    <t>Mercurial genius and iconic Premier League entertainer.</t>
  </si>
  <si>
    <t>Emmanuel Adebayor</t>
  </si>
  <si>
    <t>Arsenal, Man City, Tottenham, Crystal Palace</t>
  </si>
  <si>
    <t>Arsenal, Man City, Tottenham, Crystal Palace: 2006-2016</t>
  </si>
  <si>
    <t>Physically dominant striker with excellent Arsenal peak.</t>
  </si>
  <si>
    <t>Branislav Ivanovic</t>
  </si>
  <si>
    <t>Chelsea: 2008-2017</t>
  </si>
  <si>
    <t>Powerful defender, big-game goal threat and Chelsea stalwart.</t>
  </si>
  <si>
    <t>Laurent Koscielny</t>
  </si>
  <si>
    <t>Arsenal: 2010-2019</t>
  </si>
  <si>
    <t>Consistently excellent Arsenal defender with strong peak.</t>
  </si>
  <si>
    <t>Chris Sutton</t>
  </si>
  <si>
    <t>Norwich, Blackburn, Chelsea, Birmingham, Aston Villa</t>
  </si>
  <si>
    <t>Norwich, Blackburn, Chelsea, Birmingham, Aston Villa: 1992-2006</t>
  </si>
  <si>
    <t>Blackburn title-winning striker and strong all-round forward.</t>
  </si>
  <si>
    <t>Ilkay Gundogan</t>
  </si>
  <si>
    <t>Manchester City: 2016-2023, 2024-present</t>
  </si>
  <si>
    <t>Intelligent midfielder and crucial title-run goalscorer.</t>
  </si>
  <si>
    <t>Christian Eriksen</t>
  </si>
  <si>
    <t>Tottenham, Brentford, Manchester United</t>
  </si>
  <si>
    <t>Tottenham, Brentford, Manchester United: 2013-present</t>
  </si>
  <si>
    <t>Creative technician with strong longevity and Spurs legacy.</t>
  </si>
  <si>
    <t>Yakubu</t>
  </si>
  <si>
    <t>Portsmouth, Middlesbrough, Everton, Blackburn</t>
  </si>
  <si>
    <t>Portsmouth, Middlesbrough, Everton, Blackburn: 2003-2012</t>
  </si>
  <si>
    <t>Reliable Premier League goalscorer across several clubs.</t>
  </si>
  <si>
    <t>Steve Bruce</t>
  </si>
  <si>
    <t>Manchester United: 1992-1996</t>
  </si>
  <si>
    <t>Early Premier League title-winning defensive leader.</t>
  </si>
  <si>
    <t>Gary Pallister</t>
  </si>
  <si>
    <t>Manchester United, Middlesbrough</t>
  </si>
  <si>
    <t>Manchester United, Middlesbrough: 1992-2001</t>
  </si>
  <si>
    <t>Composed defender and key part of early United success.</t>
  </si>
  <si>
    <t>Fernandinho</t>
  </si>
  <si>
    <t>Manchester City: 2013-2022</t>
  </si>
  <si>
    <t>City midfield enforcer and tactical foundation of Pep era.</t>
  </si>
  <si>
    <t>Patrice Evra</t>
  </si>
  <si>
    <t>Manchester United, West Ham</t>
  </si>
  <si>
    <t>Manchester United, West Ham: 2006-2018</t>
  </si>
  <si>
    <t>Dynamic title-winning United left-back.</t>
  </si>
  <si>
    <t>Robbie Keane</t>
  </si>
  <si>
    <t>Coventry, Leeds, Tottenham, Liverpool, West Ham, Aston Villa</t>
  </si>
  <si>
    <t>Coventry, Leeds, Tottenham, Liverpool, West Ham, Aston Villa: 1999-2012</t>
  </si>
  <si>
    <t>Creative striker with consistency across multiple clubs.</t>
  </si>
  <si>
    <t>Michael Carrick</t>
  </si>
  <si>
    <t>West Ham, Tottenham, Manchester United</t>
  </si>
  <si>
    <t>West Ham, Tottenham, Manchester United: 1999-2018</t>
  </si>
  <si>
    <t>Underrated controller and major United title-era midfielder.</t>
  </si>
  <si>
    <t>Jaap Stam</t>
  </si>
  <si>
    <t>Manchester United: 1998-2001</t>
  </si>
  <si>
    <t>Short but dominant United centre-back prime.</t>
  </si>
  <si>
    <t>Diego Costa</t>
  </si>
  <si>
    <t>Chelsea, Wolves</t>
  </si>
  <si>
    <t>Chelsea, Wolves: 2014-2017, 2022-2023</t>
  </si>
  <si>
    <t>Ferocious title-winning Chelsea striker with high-impact short spell.</t>
  </si>
  <si>
    <t>Pierre-Emerick Aubameyang</t>
  </si>
  <si>
    <t>Arsenal, Chelsea: 2018-2023</t>
  </si>
  <si>
    <t>Golden Boot-level Arsenal striker peak.</t>
  </si>
  <si>
    <t>Mousa Dembele</t>
  </si>
  <si>
    <t>Fulham, Tottenham Hotspur</t>
  </si>
  <si>
    <t>Fulham, Tottenham Hotspur: 2010-2019</t>
  </si>
  <si>
    <t>Press-resistant midfield powerhouse with exceptional ball-carrying.</t>
  </si>
  <si>
    <t>Mark Viduka</t>
  </si>
  <si>
    <t>Leeds, Middlesbrough, Newcastle</t>
  </si>
  <si>
    <t>Leeds, Middlesbrough, Newcastle: 2000-2009</t>
  </si>
  <si>
    <t>Technically excellent target-forward with high-level peak.</t>
  </si>
  <si>
    <t>Peter Beardsley</t>
  </si>
  <si>
    <t>Everton, Newcastle, Bolton</t>
  </si>
  <si>
    <t>Everton, Newcastle, Bolton: 1992-1998</t>
  </si>
  <si>
    <t>Beautifully intelligent creator in early Premier League years.</t>
  </si>
  <si>
    <t>Ole Gunnar Solskjaer</t>
  </si>
  <si>
    <t>Manchester United: 1996-2007</t>
  </si>
  <si>
    <t>Legendary impact substitute and reliable United goalscorer.</t>
  </si>
  <si>
    <t>Ederson</t>
  </si>
  <si>
    <t>Distribution-redefining goalkeeper in dominant City sides.</t>
  </si>
  <si>
    <t>Paul Ince</t>
  </si>
  <si>
    <t>Manchester United, Liverpool, Middlesbrough, Wolves</t>
  </si>
  <si>
    <t>Manchester United, Liverpool, Middlesbrough, Wolves: 1992-2004</t>
  </si>
  <si>
    <t>Powerful midfielder and early Premier League title winner.</t>
  </si>
  <si>
    <t>Dion Dublin</t>
  </si>
  <si>
    <t>ST/CB</t>
  </si>
  <si>
    <t>Man United, Coventry, Aston Villa, Leicester, Norwich</t>
  </si>
  <si>
    <t>Man United, Coventry, Aston Villa, Leicester, Norwich: 1992-2008</t>
  </si>
  <si>
    <t>Golden Boot-level forward with versatility and longevity.</t>
  </si>
  <si>
    <t>Romelu Lukaku</t>
  </si>
  <si>
    <t>Chelsea, West Brom, Everton, Manchester United</t>
  </si>
  <si>
    <t>Chelsea, West Brom, Everton, Manchester United: 2011-2019, 2021-2022</t>
  </si>
  <si>
    <t>Powerful scorer with excellent Everton peak and strong goal record.</t>
  </si>
  <si>
    <t>Joe Cole</t>
  </si>
  <si>
    <t>West Ham, Chelsea, Liverpool, Aston Villa</t>
  </si>
  <si>
    <t>West Ham, Chelsea, Liverpool, Aston Villa: 1998-2015</t>
  </si>
  <si>
    <t>Gifted creator and important Chelsea title-era attacker.</t>
  </si>
  <si>
    <t>Damien Duff</t>
  </si>
  <si>
    <t>Blackburn, Chelsea, Newcastle, Fulham</t>
  </si>
  <si>
    <t>Blackburn, Chelsea, Newcastle, Fulham: 1996-2014</t>
  </si>
  <si>
    <t>Brilliant winger at Blackburn/Chelsea with title-winning role.</t>
  </si>
  <si>
    <t>Leighton Baines</t>
  </si>
  <si>
    <t>Wigan Athletic, Everton</t>
  </si>
  <si>
    <t>Wigan Athletic, Everton: 2005-2020</t>
  </si>
  <si>
    <t>Outstanding attacking left-back and set-piece specialist.</t>
  </si>
  <si>
    <t>Shay Given</t>
  </si>
  <si>
    <t>Blackburn, Newcastle, Manchester City, Aston Villa, Stoke</t>
  </si>
  <si>
    <t>Blackburn, Newcastle, Manchester City, Aston Villa, Stoke: 1996-2017</t>
  </si>
  <si>
    <t>Premier League goalkeeping stalwart with huge save-making longevity.</t>
  </si>
  <si>
    <t>Jordan Henderson</t>
  </si>
  <si>
    <t>Sunderland, Liverpool</t>
  </si>
  <si>
    <t>Sunderland, Liverpool: 2008-2023</t>
  </si>
  <si>
    <t>Liverpool title-winning captain with outstanding leadership.</t>
  </si>
  <si>
    <t>Phil Foden</t>
  </si>
  <si>
    <t>Homegrown City star with Player of the Season-level peak.</t>
  </si>
  <si>
    <t>Santi Cazorla</t>
  </si>
  <si>
    <t>Arsenal: 2012-2018</t>
  </si>
  <si>
    <t>Two-footed creator with beloved Arsenal peak.</t>
  </si>
  <si>
    <t>Bukayo Saka</t>
  </si>
  <si>
    <t>Arsenal: 2018-present</t>
  </si>
  <si>
    <t>Elite young winger and Arsenal cornerstone with high peak.</t>
  </si>
  <si>
    <t>Emmanuel Petit</t>
  </si>
  <si>
    <t>Arsenal, Chelsea: 1997-2004</t>
  </si>
  <si>
    <t>Elegant and combative Arsenal double-winning midfielder.</t>
  </si>
  <si>
    <t>Gilberto Silva</t>
  </si>
  <si>
    <t>Arsenal: 2002-2008</t>
  </si>
  <si>
    <t>Invisible Wall of the Invincibles and highly effective DM.</t>
  </si>
  <si>
    <t>Andrei Kanchelskis</t>
  </si>
  <si>
    <t>Manchester United, Everton, Man City, Southampton</t>
  </si>
  <si>
    <t>Manchester United, Everton, Man City, Southampton: 1992-2003</t>
  </si>
  <si>
    <t>Pacy winger and early United title-era star.</t>
  </si>
  <si>
    <t>Louis Saha</t>
  </si>
  <si>
    <t>Newcastle, Fulham, Manchester United, Everton, Tottenham, Sunderland</t>
  </si>
  <si>
    <t>Newcastle, Fulham, Manchester United, Everton, Tottenham, Sunderland: 1999-2013</t>
  </si>
  <si>
    <t>Mobile striker with strong Fulham and United spells.</t>
  </si>
  <si>
    <t>Gabriel Jesus</t>
  </si>
  <si>
    <t>ST/RW</t>
  </si>
  <si>
    <t>Manchester City, Arsenal</t>
  </si>
  <si>
    <t>Manchester City, Arsenal: 2016-present</t>
  </si>
  <si>
    <t>High-class technical forward and serial title contributor.</t>
  </si>
  <si>
    <t>Declan Rice</t>
  </si>
  <si>
    <t>West Ham United, Arsenal</t>
  </si>
  <si>
    <t>West Ham United: 2017-2023; Arsenal: 2023-present</t>
  </si>
  <si>
    <t>Top-class defensive midfielder and trophy-winning West Ham captain.</t>
  </si>
  <si>
    <t>Kasper Schmeichel</t>
  </si>
  <si>
    <t>Leicester City: 2014-2022</t>
  </si>
  <si>
    <t>Goalkeeper of Leicester miracle and long-term club icon.</t>
  </si>
  <si>
    <t>Freddie Ljungberg</t>
  </si>
  <si>
    <t>RM/AM</t>
  </si>
  <si>
    <t>Arsenal, West Ham</t>
  </si>
  <si>
    <t>Arsenal, West Ham: 1998-2008</t>
  </si>
  <si>
    <t>Big-game Arsenal winger and Invincibles contributor.</t>
  </si>
  <si>
    <t>Jan Vertonghen</t>
  </si>
  <si>
    <t>CB/LB</t>
  </si>
  <si>
    <t>Tottenham Hotspur: 2012-2020</t>
  </si>
  <si>
    <t>Classy defender and long-serving Spurs mainstay.</t>
  </si>
  <si>
    <t>Aaron Ramsey</t>
  </si>
  <si>
    <t>Arsenal: 2008-2019</t>
  </si>
  <si>
    <t>Dynamic Arsenal midfielder with strong scoring peak.</t>
  </si>
  <si>
    <t>Duncan Ferguson</t>
  </si>
  <si>
    <t>Everton, Newcastle</t>
  </si>
  <si>
    <t>Everton, Newcastle: 1994-2006</t>
  </si>
  <si>
    <t>Iconic target man and Everton cult legend.</t>
  </si>
  <si>
    <t>Pablo Zabaleta</t>
  </si>
  <si>
    <t>Manchester City, West Ham</t>
  </si>
  <si>
    <t>Manchester City, West Ham: 2008-2020</t>
  </si>
  <si>
    <t>Warrior-like right-back in Citys rise.</t>
  </si>
  <si>
    <t>Sami Hyypia</t>
  </si>
  <si>
    <t>Liverpool: 1999-2009</t>
  </si>
  <si>
    <t>Commanding Liverpool centre-back with strong consistency.</t>
  </si>
  <si>
    <t>Antonio Valencia</t>
  </si>
  <si>
    <t>RW/RB</t>
  </si>
  <si>
    <t>Wigan Athletic, Manchester United</t>
  </si>
  <si>
    <t>Wigan Athletic, Manchester United: 2006-2019</t>
  </si>
  <si>
    <t>Powerful winger/right-back with long United service.</t>
  </si>
  <si>
    <t>Kolo Toure</t>
  </si>
  <si>
    <t>Arsenal, Manchester City, Liverpool</t>
  </si>
  <si>
    <t>Arsenal, Manchester City, Liverpool: 2002-2016</t>
  </si>
  <si>
    <t>Athletic defender, Invincible and long-serving Premier League centre-back.</t>
  </si>
  <si>
    <t>Olivier Giroud</t>
  </si>
  <si>
    <t>Arsenal, Chelsea: 2012-2021</t>
  </si>
  <si>
    <t>Excellent link striker with consistency and big-club legacy.</t>
  </si>
  <si>
    <t>William Gallas</t>
  </si>
  <si>
    <t>Chelsea, Arsenal, Tottenham</t>
  </si>
  <si>
    <t>Chelsea, Arsenal, Tottenham: 2001-2013</t>
  </si>
  <si>
    <t>High-quality defender across three major London clubs.</t>
  </si>
  <si>
    <t>Nigel Martyn</t>
  </si>
  <si>
    <t>Crystal Palace, Leeds, Everton</t>
  </si>
  <si>
    <t>Crystal Palace, Leeds, Everton: 1992-2006</t>
  </si>
  <si>
    <t>Reliable elite goalkeeper across Palace, Leeds and Everton.</t>
  </si>
  <si>
    <t>Hugo Lloris</t>
  </si>
  <si>
    <t>World Cup-winning captain with strong Spurs longevity.</t>
  </si>
  <si>
    <t>Lee Bowyer</t>
  </si>
  <si>
    <t>Leeds, Newcastle, West Ham, Birmingham</t>
  </si>
  <si>
    <t>Leeds, Newcastle, West Ham, Birmingham: 1996-2012</t>
  </si>
  <si>
    <t>Dynamic midfielder with excellent Leeds peak.</t>
  </si>
  <si>
    <t>Wilfried Zaha</t>
  </si>
  <si>
    <t>Crystal Palace, Manchester United</t>
  </si>
  <si>
    <t>Crystal Palace, Manchester United: 2013-2023</t>
  </si>
  <si>
    <t>Palace talisman and elite ball-carrier over many seasons.</t>
  </si>
  <si>
    <t>Martin Keown</t>
  </si>
  <si>
    <t>Arsenal, Aston Villa, Everton, Leicester</t>
  </si>
  <si>
    <t>Arsenal, Aston Villa, Everton, Leicester: 1992-2005</t>
  </si>
  <si>
    <t>Tough Arsenal defender and title-winning squad pillar.</t>
  </si>
  <si>
    <t>David Batty</t>
  </si>
  <si>
    <t>Leeds, Blackburn, Newcastle</t>
  </si>
  <si>
    <t>Leeds, Blackburn, Newcastle: 1992-2004</t>
  </si>
  <si>
    <t>Tough, reliable defensive midfielder with title-winning Blackburn spell.</t>
  </si>
  <si>
    <t>Scott Parker</t>
  </si>
  <si>
    <t>Charlton, Chelsea, Newcastle, West Ham, Tottenham, Fulham</t>
  </si>
  <si>
    <t>Charlton, Chelsea, Newcastle, West Ham, Tottenham, Fulham: 1997-2017</t>
  </si>
  <si>
    <t>Combative midfielder with Player of the Year-level season.</t>
  </si>
  <si>
    <t>Brad Friedel</t>
  </si>
  <si>
    <t>Liverpool, Blackburn, Aston Villa, Tottenham</t>
  </si>
  <si>
    <t>Liverpool, Blackburn, Aston Villa, Tottenham: 1997-2015</t>
  </si>
  <si>
    <t>Exceptionally durable and consistent Premier League goalkeeper.</t>
  </si>
  <si>
    <t>David James</t>
  </si>
  <si>
    <t>Liverpool, Aston Villa, West Ham, Man City, Portsmouth</t>
  </si>
  <si>
    <t>Liverpool, Aston Villa, West Ham, Man City, Portsmouth: 1992-2010</t>
  </si>
  <si>
    <t>Huge appearances, shot-stopping peaks and long career.</t>
  </si>
  <si>
    <t>Mark Schwarzer</t>
  </si>
  <si>
    <t>Middlesbrough, Fulham, Chelsea, Leicester</t>
  </si>
  <si>
    <t>Middlesbrough, Fulham, Chelsea, Leicester: 1996-2016</t>
  </si>
  <si>
    <t>Long-serving, dependable Premier League goalkeeper.</t>
  </si>
  <si>
    <t>Arjen Robben</t>
  </si>
  <si>
    <t>Chelsea: 2004-2007</t>
  </si>
  <si>
    <t>Electric Chelsea winger with high peak despite short Premier League spell.</t>
  </si>
  <si>
    <t>Dele Alli</t>
  </si>
  <si>
    <t>Tottenham Hotspur, Everton</t>
  </si>
  <si>
    <t>Tottenham Hotspur, Everton: 2015-2023</t>
  </si>
  <si>
    <t>Brilliant early Spurs peak and huge goalscoring midfield threat.</t>
  </si>
  <si>
    <t>Faustino Asprilla</t>
  </si>
  <si>
    <t>Newcastle United</t>
  </si>
  <si>
    <t>Newcastle United: 1996-1998</t>
  </si>
  <si>
    <t>Flamboyant, thrilling forward with short but memorable impact.</t>
  </si>
  <si>
    <t>Ruben Dias</t>
  </si>
  <si>
    <t>Manchester City: 2020-present</t>
  </si>
  <si>
    <t>Transformative City centre-back and title-winning defensive leader.</t>
  </si>
  <si>
    <t>Stan Collymore</t>
  </si>
  <si>
    <t>Nottingham Forest, Liverpool, Aston Villa, Bradford</t>
  </si>
  <si>
    <t>Nottingham Forest, Liverpool, Aston Villa, Bradford: 1994-2001</t>
  </si>
  <si>
    <t>Powerful striker with sensational Forest/Liverpool peaks.</t>
  </si>
  <si>
    <t>Michael Ballack</t>
  </si>
  <si>
    <t>Chelsea: 2006-2010</t>
  </si>
  <si>
    <t>World-class midfielder with solid Chelsea contribution.</t>
  </si>
  <si>
    <t>Nani</t>
  </si>
  <si>
    <t>Manchester United: 2007-2015</t>
  </si>
  <si>
    <t>Flair winger with strong peak and title-winning contributions.</t>
  </si>
  <si>
    <t>Toby Alderweireld</t>
  </si>
  <si>
    <t>Southampton, Tottenham Hotspur</t>
  </si>
  <si>
    <t>Southampton, Tottenham Hotspur: 2014-2021</t>
  </si>
  <si>
    <t>Excellent passing centre-back and Spurs peak-era leader.</t>
  </si>
  <si>
    <t>Lucas Radebe</t>
  </si>
  <si>
    <t>Leeds United</t>
  </si>
  <si>
    <t>Leeds United: 1994-2005</t>
  </si>
  <si>
    <t>Inspirational Leeds captain and cult defensive icon.</t>
  </si>
  <si>
    <t>Alan Smith</t>
  </si>
  <si>
    <t>ST/CM</t>
  </si>
  <si>
    <t>Leeds, Manchester United, Newcastle</t>
  </si>
  <si>
    <t>Leeds, Manchester United, Newcastle: 1998-2012</t>
  </si>
  <si>
    <t>Intense forward/midfielder with memorable Leeds and United spells.</t>
  </si>
  <si>
    <t>Mikel Arteta</t>
  </si>
  <si>
    <t>Everton, Arsenal</t>
  </si>
  <si>
    <t>Everton, Arsenal: 2005-2016</t>
  </si>
  <si>
    <t>Excellent tempo-setter and leader at Everton and Arsenal.</t>
  </si>
  <si>
    <t>Michail Antonio</t>
  </si>
  <si>
    <t>West Ham United</t>
  </si>
  <si>
    <t>West Ham United: 2015-present</t>
  </si>
  <si>
    <t>West Ham Premier League scorer and powerful late-career forward.</t>
  </si>
  <si>
    <t>Bacary Sagna</t>
  </si>
  <si>
    <t>Arsenal, Manchester City: 2007-2017</t>
  </si>
  <si>
    <t>Consistently strong defensive full-back at top clubs.</t>
  </si>
  <si>
    <t>Gary Cahill</t>
  </si>
  <si>
    <t>Aston Villa, Bolton, Chelsea, Crystal Palace, Bournemouth</t>
  </si>
  <si>
    <t>Aston Villa, Bolton, Chelsea, Crystal Palace, Bournemouth: 2004-2022</t>
  </si>
  <si>
    <t>Reliable Chelsea title-winning defender with major longevity.</t>
  </si>
  <si>
    <t>Gareth Southgate</t>
  </si>
  <si>
    <t>Crystal Palace, Aston Villa, Middlesbrough</t>
  </si>
  <si>
    <t>Crystal Palace, Aston Villa, Middlesbrough: 1992-2006</t>
  </si>
  <si>
    <t>Reliable defender and leader across long Premier League spell.</t>
  </si>
  <si>
    <t>Phil Jagielka</t>
  </si>
  <si>
    <t>Sheffield United, Everton</t>
  </si>
  <si>
    <t>Sheffield United, Everton: 2006-2022</t>
  </si>
  <si>
    <t>Consistent Everton centre-back and long-serving Premier League defender.</t>
  </si>
  <si>
    <t>Tim Howard</t>
  </si>
  <si>
    <t>Manchester United, Everton</t>
  </si>
  <si>
    <t>Manchester United, Everton: 2003-2016</t>
  </si>
  <si>
    <t>Long-serving Everton keeper and strong shot-stopper.</t>
  </si>
  <si>
    <t>Robert Huth</t>
  </si>
  <si>
    <t>Chelsea, Middlesbrough, Stoke, Leicester</t>
  </si>
  <si>
    <t>Chelsea, Middlesbrough, Stoke, Leicester: 2001-2018</t>
  </si>
  <si>
    <t>Rugged defender and rare title winner with two clubs.</t>
  </si>
  <si>
    <t>Marc Overmars</t>
  </si>
  <si>
    <t>Arsenal: 1997-2000</t>
  </si>
  <si>
    <t>Blistering winger and crucial Arsenal double winner.</t>
  </si>
  <si>
    <t>Martin Odegaard</t>
  </si>
  <si>
    <t>Arsenal: 2021-present</t>
  </si>
  <si>
    <t>Arsenal captain and high-level creative midfielder.</t>
  </si>
  <si>
    <t>Jonathan Woodgate</t>
  </si>
  <si>
    <t>Leeds, Newcastle, Tottenham, Stoke, Middlesbrough</t>
  </si>
  <si>
    <t>Leeds, Newcastle, Tottenham, Stoke, Middlesbrough: 1998-2016</t>
  </si>
  <si>
    <t>Excellent defender when fit, with injuries limiting longevity.</t>
  </si>
  <si>
    <t>Ramires</t>
  </si>
  <si>
    <t>Chelsea: 2010-2016</t>
  </si>
  <si>
    <t>High-energy Chelsea midfielder and big-match contributor.</t>
  </si>
  <si>
    <t>Jack Grealish</t>
  </si>
  <si>
    <t>Aston Villa, Manchester City</t>
  </si>
  <si>
    <t>Aston Villa: 2014-2021; Manchester City: 2021-present</t>
  </si>
  <si>
    <t>Aston Villa talisman and City title-era contributor.</t>
  </si>
  <si>
    <t>Tomas Rosicky</t>
  </si>
  <si>
    <t>Arsenal: 2006-2016</t>
  </si>
  <si>
    <t>Stylish midfielder with high technical quality but injuries limited impact.</t>
  </si>
  <si>
    <t>Lauren</t>
  </si>
  <si>
    <t>Arsenal: 2000-2007</t>
  </si>
  <si>
    <t>Reliable Invincibles right-back with strong defensive technique.</t>
  </si>
  <si>
    <t>Tim Cahill</t>
  </si>
  <si>
    <t>AM/ST</t>
  </si>
  <si>
    <t>Everton</t>
  </si>
  <si>
    <t>Everton: 2004-2012</t>
  </si>
  <si>
    <t>Big-game Everton goalscoring midfielder and aerial specialist.</t>
  </si>
  <si>
    <t>Wes Morgan</t>
  </si>
  <si>
    <t>Leicester City: 2014-2021</t>
  </si>
  <si>
    <t>Captain of Leicesters extraordinary title-winning side.</t>
  </si>
  <si>
    <t>Joleon Lescott</t>
  </si>
  <si>
    <t>Everton, Manchester City, West Brom, Aston Villa, Sunderland</t>
  </si>
  <si>
    <t>Everton, Manchester City, West Brom, Aston Villa, Sunderland: 2006-2017</t>
  </si>
  <si>
    <t>Strong defender and City title winner.</t>
  </si>
  <si>
    <t>Kevin Nolan</t>
  </si>
  <si>
    <t>Bolton, Newcastle, West Ham</t>
  </si>
  <si>
    <t>Bolton, Newcastle, West Ham: 2001-2015</t>
  </si>
  <si>
    <t>Goalscoring midfielder and reliable captain figure.</t>
  </si>
  <si>
    <t>Harry Maguire</t>
  </si>
  <si>
    <t>Hull City, Leicester City, Manchester United</t>
  </si>
  <si>
    <t>Hull City, Leicester City, Manchester United: 2014-present</t>
  </si>
  <si>
    <t>Strong defender with notable Leicester and United spells.</t>
  </si>
  <si>
    <t>Jordan Pickford</t>
  </si>
  <si>
    <t>Sunderland, Everton</t>
  </si>
  <si>
    <t>Sunderland, Everton: 2016-present</t>
  </si>
  <si>
    <t>Everton and England No.1 with strong shot-stopping reputation.</t>
  </si>
  <si>
    <t>Dimitri Payet</t>
  </si>
  <si>
    <t>West Ham United: 2015-2017</t>
  </si>
  <si>
    <t>Sensational short West Ham peak and cult legacy.</t>
  </si>
  <si>
    <t>Cole Palmer</t>
  </si>
  <si>
    <t>Manchester City, Chelsea</t>
  </si>
  <si>
    <t>Manchester City: 2021-2023; Chelsea: 2023-present</t>
  </si>
  <si>
    <t>Explosive Chelsea peak with exceptional attacking output.</t>
  </si>
  <si>
    <t>Eberechi Eze</t>
  </si>
  <si>
    <t>Crystal Palace</t>
  </si>
  <si>
    <t>Crystal Palace: 2020-present</t>
  </si>
  <si>
    <t>Elite flair creator and Palace talisman.</t>
  </si>
  <si>
    <t>Diogo Jota</t>
  </si>
  <si>
    <t>Wolves, Liverpool</t>
  </si>
  <si>
    <t>Wolves, Liverpool: 2018-present</t>
  </si>
  <si>
    <t>Clinical versatile forward at Wolves and Liverpool.</t>
  </si>
  <si>
    <t>Clint Dempsey</t>
  </si>
  <si>
    <t>AM/FW</t>
  </si>
  <si>
    <t>Fulham, Tottenham Hotspur: 2007-2014</t>
  </si>
  <si>
    <t>Premier League trailblazer for US players and Fulham star.</t>
  </si>
  <si>
    <t>James Maddison</t>
  </si>
  <si>
    <t>Norwich City, Leicester City, Tottenham Hotspur</t>
  </si>
  <si>
    <t>Norwich City, Leicester City, Tottenham Hotspur: 2018-present</t>
  </si>
  <si>
    <t>Creative attacking midfielder with sustained chance creation.</t>
  </si>
  <si>
    <t>Morten Gamst Pedersen</t>
  </si>
  <si>
    <t>LM</t>
  </si>
  <si>
    <t>Blackburn Rovers</t>
  </si>
  <si>
    <t>Blackburn Rovers: 2004-2013</t>
  </si>
  <si>
    <t>Left-footed Blackburn creator with memorable long-range goals.</t>
  </si>
  <si>
    <t>Marouane Fellaini</t>
  </si>
  <si>
    <t>Everton, Manchester United: 2008-2019</t>
  </si>
  <si>
    <t>Distinctive physical midfielder with notable Everton peak.</t>
  </si>
  <si>
    <t>Bruno Guimaraes</t>
  </si>
  <si>
    <t>Newcastle United: 2022-present</t>
  </si>
  <si>
    <t>Newcastles elite modern midfield catalyst.</t>
  </si>
  <si>
    <t>Hatem Ben Arfa</t>
  </si>
  <si>
    <t>RW/AM</t>
  </si>
  <si>
    <t>Newcastle United, Hull City</t>
  </si>
  <si>
    <t>Newcastle United, Hull City: 2010-2015</t>
  </si>
  <si>
    <t>Mercurial dribbler with memorable moments but limited consistency.</t>
  </si>
  <si>
    <t>Yohan Cabaye</t>
  </si>
  <si>
    <t>Newcastle United, Crystal Palace</t>
  </si>
  <si>
    <t>Newcastle United, Crystal Palace: 2011-2018</t>
  </si>
  <si>
    <t>Classy midfielder with excellent Newcastle peak.</t>
  </si>
  <si>
    <t>Nick Pope</t>
  </si>
  <si>
    <t>Burnley, Newcastle United</t>
  </si>
  <si>
    <t>Burnley, Newcastle United: 2016-present</t>
  </si>
  <si>
    <t>Excellent traditional goalkeeper with high save and command profile.</t>
  </si>
  <si>
    <t>Richarlison</t>
  </si>
  <si>
    <t>Watford, Everton, Tottenham Hotspur</t>
  </si>
  <si>
    <t>Watford, Everton, Tottenham Hotspur: 2017-present</t>
  </si>
  <si>
    <t>Hard-working forward with strong Everton spell.</t>
  </si>
  <si>
    <t>Callum Wilson</t>
  </si>
  <si>
    <t>Bournemouth, Newcastle United</t>
  </si>
  <si>
    <t>Bournemouth, Newcastle United: 2015-present</t>
  </si>
  <si>
    <t>Reliable Premier League goalscorer when fit.</t>
  </si>
  <si>
    <t>Luis Diaz</t>
  </si>
  <si>
    <t>Liverpool: 2022-present</t>
  </si>
  <si>
    <t>High-energy Liverpool winger with strong impact.</t>
  </si>
  <si>
    <t>Raphinha</t>
  </si>
  <si>
    <t>Leeds United: 2020-2022</t>
  </si>
  <si>
    <t>Electric Leeds winger with short but standout Premier League spell.</t>
  </si>
  <si>
    <t>Top 200 All-Time Players - Five League Challenge Dataset</t>
  </si>
  <si>
    <t>Date update</t>
  </si>
  <si>
    <t>League</t>
  </si>
  <si>
    <t>Players</t>
  </si>
  <si>
    <t>Top ranked player</t>
  </si>
  <si>
    <t>Average rating</t>
  </si>
  <si>
    <t>Players rated 90+</t>
  </si>
  <si>
    <t>Generic positions left</t>
  </si>
  <si>
    <t>Generic clubs left</t>
  </si>
  <si>
    <t>Notes</t>
  </si>
  <si>
    <t>Column E updated; filter Date status in column K on each league tab.</t>
  </si>
  <si>
    <t>Premier League</t>
  </si>
  <si>
    <t>Ready for league-based 5-a-side pool</t>
  </si>
  <si>
    <t>La Liga</t>
  </si>
  <si>
    <t>Serie A</t>
  </si>
  <si>
    <t>Ligue 1</t>
  </si>
  <si>
    <t>Bundesliga</t>
  </si>
  <si>
    <t>Gerd Muller</t>
  </si>
  <si>
    <t>Main League Club(s)</t>
  </si>
  <si>
    <t>Lionel Messi</t>
  </si>
  <si>
    <t>Barcelona</t>
  </si>
  <si>
    <t>Barcelona: 2004-2021</t>
  </si>
  <si>
    <t>Ranked for La Liga impact: prime level first, then league legacy/legend status, with longevity as a supporting factor.</t>
  </si>
  <si>
    <t>Real Madrid</t>
  </si>
  <si>
    <t>Real Madrid: 2009-2018</t>
  </si>
  <si>
    <t>Alfredo Di Stefano</t>
  </si>
  <si>
    <t>SS/CF</t>
  </si>
  <si>
    <t>Real Madrid, Espanyol</t>
  </si>
  <si>
    <t>Real Madrid: 1953-1964; Espanyol: 1964-1966</t>
  </si>
  <si>
    <t>Xavi</t>
  </si>
  <si>
    <t>Barcelona: 1998-2015</t>
  </si>
  <si>
    <t>Andres Iniesta</t>
  </si>
  <si>
    <t>Barcelona: 2002-2018</t>
  </si>
  <si>
    <t>Johan Cruyff</t>
  </si>
  <si>
    <t>Barcelona: 1973-1978</t>
  </si>
  <si>
    <t>Zinedine Zidane</t>
  </si>
  <si>
    <t>Real Madrid: 2001-2006</t>
  </si>
  <si>
    <t>Ronaldinho</t>
  </si>
  <si>
    <t>Barcelona: 2003-2008</t>
  </si>
  <si>
    <t>Barcelona, Atletico Madrid</t>
  </si>
  <si>
    <t>Barcelona: 2014-2020; Atletico Madrid: 2020-2022</t>
  </si>
  <si>
    <t>Karim Benzema</t>
  </si>
  <si>
    <t>Real Madrid: 2009-2023</t>
  </si>
  <si>
    <t>Raul</t>
  </si>
  <si>
    <t>Real Madrid: 1994-2010</t>
  </si>
  <si>
    <t>Ferenc Puskas</t>
  </si>
  <si>
    <t>Real Madrid: 1958-1966</t>
  </si>
  <si>
    <t>Sergio Ramos</t>
  </si>
  <si>
    <t>Sevilla, Real Madrid</t>
  </si>
  <si>
    <t>Sevilla: 2004-2005; Real Madrid: 2005-2021</t>
  </si>
  <si>
    <t>Iker Casillas</t>
  </si>
  <si>
    <t>Real Madrid: 1999-2015</t>
  </si>
  <si>
    <t>Real Madrid: 2012-2025</t>
  </si>
  <si>
    <t>Sergio Busquets</t>
  </si>
  <si>
    <t>Barcelona: 2008-2023</t>
  </si>
  <si>
    <t>Real Sociedad, Real Madrid</t>
  </si>
  <si>
    <t>Real Sociedad: 1999-2004; Real Madrid: 2009-2014</t>
  </si>
  <si>
    <t>Neymar</t>
  </si>
  <si>
    <t>Barcelona: 2013-2017</t>
  </si>
  <si>
    <t>Ronaldo Nazario</t>
  </si>
  <si>
    <t>Barcelona, Real Madrid</t>
  </si>
  <si>
    <t>Barcelona: 1996-1997; Real Madrid: 2002-2007</t>
  </si>
  <si>
    <t>Romario</t>
  </si>
  <si>
    <t>Barcelona, Valencia</t>
  </si>
  <si>
    <t>Barcelona: 1993-1995; Valencia: 1996-1997</t>
  </si>
  <si>
    <t>Samuel Eto'o</t>
  </si>
  <si>
    <t>Leganes, Espanyol, Mallorca, Barcelona</t>
  </si>
  <si>
    <t>Leganes: 1997-1998; Espanyol: 1999; Mallorca: 2000-2004; Barcelona: 2004-2009</t>
  </si>
  <si>
    <t>Ladislav Kubala</t>
  </si>
  <si>
    <t>FW/AM</t>
  </si>
  <si>
    <t>Barcelona, Espanyol</t>
  </si>
  <si>
    <t>Barcelona: dates to confirm; Espanyol: dates to confirm</t>
  </si>
  <si>
    <t>Needs review</t>
  </si>
  <si>
    <t>Luis Figo</t>
  </si>
  <si>
    <t>Barcelona: 1995-2000; Real Madrid: 2000-2005</t>
  </si>
  <si>
    <t>Hugo Sanchez</t>
  </si>
  <si>
    <t>Atletico Madrid, Real Madrid, Rayo Vallecano</t>
  </si>
  <si>
    <t>Atletico Madrid: 1981-1985; Real Madrid: 1985-1992; Rayo Vallecano: 1993-1994</t>
  </si>
  <si>
    <t>Telmo Zarra</t>
  </si>
  <si>
    <t>Athletic Club</t>
  </si>
  <si>
    <t>Athletic Club: 1940-1955</t>
  </si>
  <si>
    <t>Paco Gento</t>
  </si>
  <si>
    <t>Real Madrid: 1953-1971</t>
  </si>
  <si>
    <t>Pirri</t>
  </si>
  <si>
    <t>CM/CB</t>
  </si>
  <si>
    <t>Real Madrid: dates to confirm</t>
  </si>
  <si>
    <t>Emilio Butragueno</t>
  </si>
  <si>
    <t>Santillana</t>
  </si>
  <si>
    <t>Fernando Hierro</t>
  </si>
  <si>
    <t>CB/DM</t>
  </si>
  <si>
    <t>Real Valladolid, Real Madrid</t>
  </si>
  <si>
    <t>Real Valladolid: dates to confirm; Real Madrid: dates to confirm</t>
  </si>
  <si>
    <t>Carles Puyol</t>
  </si>
  <si>
    <t>Barcelona: 1999-2014</t>
  </si>
  <si>
    <t>Dani Alves</t>
  </si>
  <si>
    <t>Sevilla, Barcelona</t>
  </si>
  <si>
    <t>Sevilla: 2002-2008; Barcelona: 2008-2016, 2021-2022</t>
  </si>
  <si>
    <t>Roberto Carlos</t>
  </si>
  <si>
    <t>Real Madrid: 1996-2007</t>
  </si>
  <si>
    <t>Marcelo</t>
  </si>
  <si>
    <t>Real Madrid: 2007-2022</t>
  </si>
  <si>
    <t>Gerard Pique</t>
  </si>
  <si>
    <t>Barcelona: 2008-2022</t>
  </si>
  <si>
    <t>David Villa</t>
  </si>
  <si>
    <t>Real Zaragoza, Valencia, Barcelona, Atletico Madrid</t>
  </si>
  <si>
    <t>Real Zaragoza: 2003-2005; Valencia: 2005-2010; Barcelona: 2010-2013; Atletico Madrid: 2013-2014</t>
  </si>
  <si>
    <t>Antoine Griezmann</t>
  </si>
  <si>
    <t>SS/FW</t>
  </si>
  <si>
    <t>Real Sociedad, Atletico Madrid, Barcelona</t>
  </si>
  <si>
    <t>Real Sociedad: 2009-2014; Atletico Madrid: 2014-2019, 2021-present; Barcelona: 2019-2021</t>
  </si>
  <si>
    <t>Diego Godin</t>
  </si>
  <si>
    <t>Villarreal, Atletico Madrid</t>
  </si>
  <si>
    <t>Villarreal: 2007-2010; Atletico Madrid: 2010-2019</t>
  </si>
  <si>
    <t>Jan Oblak</t>
  </si>
  <si>
    <t>Atletico Madrid</t>
  </si>
  <si>
    <t>Atletico Madrid: 2014-present</t>
  </si>
  <si>
    <t>Thibaut Courtois</t>
  </si>
  <si>
    <t>Atletico Madrid, Real Madrid</t>
  </si>
  <si>
    <t>Atletico Madrid: 2011-2014; Real Madrid: 2018-present</t>
  </si>
  <si>
    <t>Diego Simeone</t>
  </si>
  <si>
    <t>Sevilla, Atletico Madrid</t>
  </si>
  <si>
    <t>Sevilla: dates to confirm; Atletico Madrid: dates to confirm</t>
  </si>
  <si>
    <t>Koke</t>
  </si>
  <si>
    <t>Atletico Madrid: 2009-present</t>
  </si>
  <si>
    <t>Luis Aragones</t>
  </si>
  <si>
    <t>Atletico Madrid: dates to confirm</t>
  </si>
  <si>
    <t>Quini</t>
  </si>
  <si>
    <t>Sporting Gijon, Barcelona</t>
  </si>
  <si>
    <t>Sporting Gijon: dates to confirm; Barcelona: dates to confirm</t>
  </si>
  <si>
    <t>Cesar Rodriguez</t>
  </si>
  <si>
    <t>Granada, Barcelona, Elche</t>
  </si>
  <si>
    <t>Granada: dates to confirm; Barcelona: dates to confirm; Elche: dates to confirm</t>
  </si>
  <si>
    <t>Rivaldo</t>
  </si>
  <si>
    <t>Deportivo La Coruna, Barcelona</t>
  </si>
  <si>
    <t>Deportivo La Coruna: dates to confirm; Barcelona: dates to confirm</t>
  </si>
  <si>
    <t>Hristo Stoichkov</t>
  </si>
  <si>
    <t>FW/LW</t>
  </si>
  <si>
    <t>Barcelona: dates to confirm</t>
  </si>
  <si>
    <t>Michael Laudrup</t>
  </si>
  <si>
    <t>Barcelona: dates to confirm; Real Madrid: dates to confirm</t>
  </si>
  <si>
    <t>Bernd Schuster</t>
  </si>
  <si>
    <t>Barcelona, Real Madrid, Atletico Madrid</t>
  </si>
  <si>
    <t>Barcelona: dates to confirm; Real Madrid: dates to confirm; Atletico Madrid: dates to confirm</t>
  </si>
  <si>
    <t>Gheorghe Hagi</t>
  </si>
  <si>
    <t>Real Madrid, Barcelona</t>
  </si>
  <si>
    <t>Real Madrid: dates to confirm; Barcelona: dates to confirm</t>
  </si>
  <si>
    <t>Fernando Redondo</t>
  </si>
  <si>
    <t>Tenerife, Real Madrid</t>
  </si>
  <si>
    <t>Tenerife: dates to confirm; Real Madrid: dates to confirm</t>
  </si>
  <si>
    <t>Celta Vigo, Real Madrid</t>
  </si>
  <si>
    <t>Celta Vigo: dates to confirm; Real Madrid: dates to confirm</t>
  </si>
  <si>
    <t>Deco</t>
  </si>
  <si>
    <t>Juan Roman Riquelme</t>
  </si>
  <si>
    <t>Barcelona, Villarreal</t>
  </si>
  <si>
    <t>Barcelona: dates to confirm; Villarreal: dates to confirm</t>
  </si>
  <si>
    <t>Diego Forlan</t>
  </si>
  <si>
    <t>Villarreal: dates to confirm; Atletico Madrid: dates to confirm</t>
  </si>
  <si>
    <t>Joaquin</t>
  </si>
  <si>
    <t>Real Betis, Valencia, Malaga</t>
  </si>
  <si>
    <t>Real Betis: dates to confirm; Valencia: dates to confirm; Malaga: dates to confirm</t>
  </si>
  <si>
    <t>AM/LM</t>
  </si>
  <si>
    <t>Valencia, Eibar, Celta Vigo</t>
  </si>
  <si>
    <t>Valencia: dates to confirm; Eibar: dates to confirm; Celta Vigo: dates to confirm</t>
  </si>
  <si>
    <t>Toni Kroos</t>
  </si>
  <si>
    <t>Real Madrid: 2014-2024</t>
  </si>
  <si>
    <t>Villarreal, Malaga</t>
  </si>
  <si>
    <t>Villarreal: dates to confirm; Malaga: dates to confirm</t>
  </si>
  <si>
    <t>Juan Carlos Valeron</t>
  </si>
  <si>
    <t>Mallorca, Atletico Madrid, Deportivo La Coruna</t>
  </si>
  <si>
    <t>Mallorca: dates to confirm; Atletico Madrid: dates to confirm; Deportivo La Coruna: dates to confirm</t>
  </si>
  <si>
    <t>Gaizka Mendieta</t>
  </si>
  <si>
    <t>CM/RM</t>
  </si>
  <si>
    <t>Valencia, Barcelona</t>
  </si>
  <si>
    <t>Valencia: dates to confirm; Barcelona: dates to confirm</t>
  </si>
  <si>
    <t>Pablo Aimar</t>
  </si>
  <si>
    <t>Valencia, Real Zaragoza</t>
  </si>
  <si>
    <t>Valencia: dates to confirm; Real Zaragoza: dates to confirm</t>
  </si>
  <si>
    <t>Ivan Rakitic</t>
  </si>
  <si>
    <t>Sevilla: dates to confirm; Barcelona: dates to confirm</t>
  </si>
  <si>
    <t>Dani Carvajal</t>
  </si>
  <si>
    <t>Juanito</t>
  </si>
  <si>
    <t>FW/RW</t>
  </si>
  <si>
    <t>Burgos, Real Madrid, Malaga</t>
  </si>
  <si>
    <t>Burgos: dates to confirm; Real Madrid: dates to confirm; Malaga: dates to confirm</t>
  </si>
  <si>
    <t>Luis Enrique</t>
  </si>
  <si>
    <t>Sporting Gijon, Real Madrid, Barcelona</t>
  </si>
  <si>
    <t>Sporting Gijon: dates to confirm; Real Madrid: dates to confirm; Barcelona: dates to confirm</t>
  </si>
  <si>
    <t>Pep Guardiola</t>
  </si>
  <si>
    <t>Jordi Alba</t>
  </si>
  <si>
    <t>Seydou Keita</t>
  </si>
  <si>
    <t>Sevilla, Barcelona, Valencia</t>
  </si>
  <si>
    <t>Sevilla: dates to confirm; Barcelona: dates to confirm; Valencia: dates to confirm</t>
  </si>
  <si>
    <t>Rafael Marquez</t>
  </si>
  <si>
    <t>Javier Mascherano</t>
  </si>
  <si>
    <t>Javier Saviola</t>
  </si>
  <si>
    <t>Barcelona, Sevilla, Real Madrid, Malaga</t>
  </si>
  <si>
    <t>Barcelona: dates to confirm; Sevilla: dates to confirm; Real Madrid: dates to confirm; Malaga: dates to confirm</t>
  </si>
  <si>
    <t>Patrick Kluivert</t>
  </si>
  <si>
    <t>Barcelona: dates to confirm; Valencia: dates to confirm</t>
  </si>
  <si>
    <t>Rafael van der Vaart</t>
  </si>
  <si>
    <t>Real Madrid, Real Betis</t>
  </si>
  <si>
    <t>Real Madrid: dates to confirm; Real Betis: dates to confirm</t>
  </si>
  <si>
    <t>Real Madrid, Malaga</t>
  </si>
  <si>
    <t>Real Madrid: dates to confirm; Malaga: dates to confirm</t>
  </si>
  <si>
    <t>Real Madrid: 2013-2020, 2021-2022</t>
  </si>
  <si>
    <t>Isco</t>
  </si>
  <si>
    <t>Valencia, Malaga, Real Madrid, Sevilla, Real Betis</t>
  </si>
  <si>
    <t>Valencia: dates to confirm; Malaga: dates to confirm; Real Madrid: dates to confirm; Sevilla: dates to confirm; Real Betis: dates to confirm</t>
  </si>
  <si>
    <t>Marco Asensio</t>
  </si>
  <si>
    <t>Mallorca, Espanyol, Real Madrid</t>
  </si>
  <si>
    <t>Mallorca: dates to confirm; Espanyol: dates to confirm; Real Madrid: dates to confirm</t>
  </si>
  <si>
    <t>Casemiro</t>
  </si>
  <si>
    <t>Real Madrid: 2013-2014, 2015-2022</t>
  </si>
  <si>
    <t>Vinicius Junior</t>
  </si>
  <si>
    <t>Real Madrid: 2018-present</t>
  </si>
  <si>
    <t>Rodrygo</t>
  </si>
  <si>
    <t>Real Madrid: 2019-present</t>
  </si>
  <si>
    <t>Jude Bellingham</t>
  </si>
  <si>
    <t>Real Madrid: 2023-present</t>
  </si>
  <si>
    <t>Kylian Mbappe</t>
  </si>
  <si>
    <t>Robert Lewandowski</t>
  </si>
  <si>
    <t>Barcelona: 2022-present</t>
  </si>
  <si>
    <t>Pedri</t>
  </si>
  <si>
    <t>Barcelona: 2020-present</t>
  </si>
  <si>
    <t>Gavi</t>
  </si>
  <si>
    <t>Barcelona: 2021-present</t>
  </si>
  <si>
    <t>Lamine Yamal</t>
  </si>
  <si>
    <t>Barcelona: 2023-present</t>
  </si>
  <si>
    <t>Aritz Aduriz</t>
  </si>
  <si>
    <t>Athletic Club, Mallorca, Valencia</t>
  </si>
  <si>
    <t>Athletic Club: dates to confirm; Mallorca: dates to confirm; Valencia: dates to confirm</t>
  </si>
  <si>
    <t>Iago Aspas</t>
  </si>
  <si>
    <t>ST/FW</t>
  </si>
  <si>
    <t>Celta Vigo, Sevilla</t>
  </si>
  <si>
    <t>Celta Vigo: dates to confirm; Sevilla: dates to confirm</t>
  </si>
  <si>
    <t>Diego Tristan</t>
  </si>
  <si>
    <t>Mallorca, Deportivo La Coruna</t>
  </si>
  <si>
    <t>Mallorca: dates to confirm; Deportivo La Coruna: dates to confirm</t>
  </si>
  <si>
    <t>Roy Makaay</t>
  </si>
  <si>
    <t>Tenerife, Deportivo La Coruna</t>
  </si>
  <si>
    <t>Tenerife: dates to confirm; Deportivo La Coruna: dates to confirm</t>
  </si>
  <si>
    <t>Djalminha</t>
  </si>
  <si>
    <t>Deportivo La Coruna</t>
  </si>
  <si>
    <t>Deportivo La Coruna: dates to confirm</t>
  </si>
  <si>
    <t>Fran</t>
  </si>
  <si>
    <t>LM/CM</t>
  </si>
  <si>
    <t>Mauro Silva</t>
  </si>
  <si>
    <t>Donato</t>
  </si>
  <si>
    <t>Atletico Madrid, Deportivo La Coruna</t>
  </si>
  <si>
    <t>Atletico Madrid: dates to confirm; Deportivo La Coruna: dates to confirm</t>
  </si>
  <si>
    <t>Jose Antonio Reyes</t>
  </si>
  <si>
    <t>Sevilla, Real Madrid, Atletico Madrid, Espanyol</t>
  </si>
  <si>
    <t>Sevilla: dates to confirm; Real Madrid: dates to confirm; Atletico Madrid: dates to confirm; Espanyol: dates to confirm</t>
  </si>
  <si>
    <t>Jesus Navas</t>
  </si>
  <si>
    <t>Sevilla</t>
  </si>
  <si>
    <t>Sevilla: dates to confirm</t>
  </si>
  <si>
    <t>Ivan Helguera</t>
  </si>
  <si>
    <t>Espanyol, Real Madrid, Valencia</t>
  </si>
  <si>
    <t>Espanyol: dates to confirm; Real Madrid: dates to confirm; Valencia: dates to confirm</t>
  </si>
  <si>
    <t>Michel Salgado</t>
  </si>
  <si>
    <t>Santiago Canizares</t>
  </si>
  <si>
    <t>Real Madrid, Celta Vigo, Valencia</t>
  </si>
  <si>
    <t>Real Madrid: dates to confirm; Celta Vigo: dates to confirm; Valencia: dates to confirm</t>
  </si>
  <si>
    <t>Andoni Zubizarreta</t>
  </si>
  <si>
    <t>Athletic Club, Barcelona, Valencia</t>
  </si>
  <si>
    <t>Athletic Club: dates to confirm; Barcelona: dates to confirm; Valencia: dates to confirm</t>
  </si>
  <si>
    <t>Paco Buyo</t>
  </si>
  <si>
    <t>Sevilla: dates to confirm; Real Madrid: dates to confirm</t>
  </si>
  <si>
    <t>Jose Luis Chilavert</t>
  </si>
  <si>
    <t>Real Zaragoza</t>
  </si>
  <si>
    <t>Real Zaragoza: dates to confirm</t>
  </si>
  <si>
    <t>Victor Valdes</t>
  </si>
  <si>
    <t>Villarreal, Barcelona</t>
  </si>
  <si>
    <t>Villarreal: dates to confirm; Barcelona: dates to confirm</t>
  </si>
  <si>
    <t>Cesar Sanchez</t>
  </si>
  <si>
    <t>Real Valladolid, Real Madrid, Valencia, Villarreal</t>
  </si>
  <si>
    <t>Real Valladolid: dates to confirm; Real Madrid: dates to confirm; Valencia: dates to confirm; Villarreal: dates to confirm</t>
  </si>
  <si>
    <t>Ruben Baraja</t>
  </si>
  <si>
    <t>Valladolid, Atletico Madrid, Valencia</t>
  </si>
  <si>
    <t>Valladolid: dates to confirm; Atletico Madrid: dates to confirm; Valencia: dates to confirm</t>
  </si>
  <si>
    <t>David Albelda</t>
  </si>
  <si>
    <t>Valencia</t>
  </si>
  <si>
    <t>Valencia: dates to confirm</t>
  </si>
  <si>
    <t>Roberto Ayala</t>
  </si>
  <si>
    <t>Pablo Hernandez</t>
  </si>
  <si>
    <t>Valencia, Getafe, Rayo Vallecano</t>
  </si>
  <si>
    <t>Valencia: dates to confirm; Getafe: dates to confirm; Rayo Vallecano: dates to confirm</t>
  </si>
  <si>
    <t>David Alaba</t>
  </si>
  <si>
    <t>LB/CB</t>
  </si>
  <si>
    <t>Pepe</t>
  </si>
  <si>
    <t>Raphael Varane</t>
  </si>
  <si>
    <t>Eder Militao</t>
  </si>
  <si>
    <t>Filipe Luis</t>
  </si>
  <si>
    <t>Deportivo La Coruna, Atletico Madrid</t>
  </si>
  <si>
    <t>Deportivo La Coruna: dates to confirm; Atletico Madrid: dates to confirm</t>
  </si>
  <si>
    <t>Juanfran</t>
  </si>
  <si>
    <t>RB/RW</t>
  </si>
  <si>
    <t>Real Madrid, Osasuna, Atletico Madrid</t>
  </si>
  <si>
    <t>Real Madrid: dates to confirm; Osasuna: dates to confirm; Atletico Madrid: dates to confirm</t>
  </si>
  <si>
    <t>Gabi</t>
  </si>
  <si>
    <t>Atletico Madrid, Real Zaragoza</t>
  </si>
  <si>
    <t>Atletico Madrid: dates to confirm; Real Zaragoza: dates to confirm</t>
  </si>
  <si>
    <t>Saul Niguez</t>
  </si>
  <si>
    <t>Atletico Madrid, Rayo Vallecano, Sevilla</t>
  </si>
  <si>
    <t>Atletico Madrid: dates to confirm; Rayo Vallecano: dates to confirm; Sevilla: dates to confirm</t>
  </si>
  <si>
    <t>Radamel Falcao</t>
  </si>
  <si>
    <t>Atletico Madrid, Rayo Vallecano</t>
  </si>
  <si>
    <t>Atletico Madrid: dates to confirm; Rayo Vallecano: dates to confirm</t>
  </si>
  <si>
    <t>Atletico Madrid, Celta Vigo, Valladolid, Rayo Vallecano</t>
  </si>
  <si>
    <t>Atletico Madrid: dates to confirm; Celta Vigo: dates to confirm; Valladolid: dates to confirm; Rayo Vallecano: dates to confirm</t>
  </si>
  <si>
    <t>Mario Mandzukic</t>
  </si>
  <si>
    <t>Alvaro Morata</t>
  </si>
  <si>
    <t>Real Madrid, Atletico Madrid</t>
  </si>
  <si>
    <t>Real Madrid: dates to confirm; Atletico Madrid: dates to confirm</t>
  </si>
  <si>
    <t>RW/FW</t>
  </si>
  <si>
    <t>Pedro</t>
  </si>
  <si>
    <t>Raul Tamudo</t>
  </si>
  <si>
    <t>Espanyol, Real Sociedad, Rayo Vallecano</t>
  </si>
  <si>
    <t>Espanyol: dates to confirm; Real Sociedad: dates to confirm; Rayo Vallecano: dates to confirm</t>
  </si>
  <si>
    <t>Ivan de la Pena</t>
  </si>
  <si>
    <t>Sergio Garcia</t>
  </si>
  <si>
    <t>Barcelona, Real Zaragoza, Real Betis, Espanyol</t>
  </si>
  <si>
    <t>Barcelona: dates to confirm; Real Zaragoza: dates to confirm; Real Betis: dates to confirm; Espanyol: dates to confirm</t>
  </si>
  <si>
    <t>Dani Parejo</t>
  </si>
  <si>
    <t>Real Madrid, Getafe, Valencia, Villarreal</t>
  </si>
  <si>
    <t>Real Madrid: dates to confirm; Getafe: dates to confirm; Valencia: dates to confirm; Villarreal: dates to confirm</t>
  </si>
  <si>
    <t>Ever Banega</t>
  </si>
  <si>
    <t>Valencia, Atletico Madrid, Sevilla</t>
  </si>
  <si>
    <t>Valencia: dates to confirm; Atletico Madrid: dates to confirm; Sevilla: dates to confirm</t>
  </si>
  <si>
    <t>Frederic Kanoute</t>
  </si>
  <si>
    <t>Julio Baptista</t>
  </si>
  <si>
    <t>Sevilla, Real Madrid, Malaga</t>
  </si>
  <si>
    <t>Sevilla: dates to confirm; Real Madrid: dates to confirm; Malaga: dates to confirm</t>
  </si>
  <si>
    <t>Luis Fabiano</t>
  </si>
  <si>
    <t>Ivan Zamorano</t>
  </si>
  <si>
    <t>Predrag Mijatovic</t>
  </si>
  <si>
    <t>Valencia, Real Madrid</t>
  </si>
  <si>
    <t>Valencia: dates to confirm; Real Madrid: dates to confirm</t>
  </si>
  <si>
    <t>Davor Suker</t>
  </si>
  <si>
    <t>Clarence Seedorf</t>
  </si>
  <si>
    <t>Luis Garcia</t>
  </si>
  <si>
    <t>AM/W</t>
  </si>
  <si>
    <t>Barcelona, Atletico Madrid, Espanyol</t>
  </si>
  <si>
    <t>Barcelona: dates to confirm; Atletico Madrid: dates to confirm; Espanyol: dates to confirm</t>
  </si>
  <si>
    <t>Mikel Oyarzabal</t>
  </si>
  <si>
    <t>LW/FW</t>
  </si>
  <si>
    <t>Real Sociedad</t>
  </si>
  <si>
    <t>Real Sociedad: dates to confirm</t>
  </si>
  <si>
    <t>Takefusa Kubo</t>
  </si>
  <si>
    <t>Mallorca, Villarreal, Getafe, Real Sociedad</t>
  </si>
  <si>
    <t>Mallorca: dates to confirm; Villarreal: dates to confirm; Getafe: dates to confirm; Real Sociedad: dates to confirm</t>
  </si>
  <si>
    <t>Nihat Kahveci</t>
  </si>
  <si>
    <t>Real Sociedad, Villarreal</t>
  </si>
  <si>
    <t>Real Sociedad: dates to confirm; Villarreal: dates to confirm</t>
  </si>
  <si>
    <t>Xabi Prieto</t>
  </si>
  <si>
    <t>Darko Kovacevic</t>
  </si>
  <si>
    <t>Valery Karpin</t>
  </si>
  <si>
    <t>Real Sociedad, Valencia, Celta Vigo</t>
  </si>
  <si>
    <t>Real Sociedad: dates to confirm; Valencia: dates to confirm; Celta Vigo: dates to confirm</t>
  </si>
  <si>
    <t>Meho Kodro</t>
  </si>
  <si>
    <t>Real Sociedad, Barcelona, Alaves</t>
  </si>
  <si>
    <t>Real Sociedad: dates to confirm; Barcelona: dates to confirm; Alaves: dates to confirm</t>
  </si>
  <si>
    <t>Julen Guerrero</t>
  </si>
  <si>
    <t>Athletic Club: dates to confirm</t>
  </si>
  <si>
    <t>Aitor Karanka</t>
  </si>
  <si>
    <t>Athletic Club, Real Madrid</t>
  </si>
  <si>
    <t>Athletic Club: dates to confirm; Real Madrid: dates to confirm</t>
  </si>
  <si>
    <t>Joseba Etxeberria</t>
  </si>
  <si>
    <t>RW/ST</t>
  </si>
  <si>
    <t>Real Sociedad, Athletic Club</t>
  </si>
  <si>
    <t>Real Sociedad: dates to confirm; Athletic Club: dates to confirm</t>
  </si>
  <si>
    <t>Ismael Urzaiz</t>
  </si>
  <si>
    <t>Athletic Club, Espanyol, Albacete, Celta Vigo, Rayo Vallecano</t>
  </si>
  <si>
    <t>Athletic Club: dates to confirm; Espanyol: dates to confirm; Albacete: dates to confirm; Celta Vigo: dates to confirm; Rayo Vallecano: dates to confirm</t>
  </si>
  <si>
    <t>Andoni Goikoetxea</t>
  </si>
  <si>
    <t>Athletic Club, Atletico Madrid</t>
  </si>
  <si>
    <t>Athletic Club: dates to confirm; Atletico Madrid: dates to confirm</t>
  </si>
  <si>
    <t>Jose Angel Iribar</t>
  </si>
  <si>
    <t>Jose Mari Bakero</t>
  </si>
  <si>
    <t>Real Sociedad, Barcelona</t>
  </si>
  <si>
    <t>Real Sociedad: dates to confirm; Barcelona: dates to confirm</t>
  </si>
  <si>
    <t>Txiki Begiristain</t>
  </si>
  <si>
    <t>Real Sociedad, Barcelona, Deportivo La Coruna</t>
  </si>
  <si>
    <t>Real Sociedad: dates to confirm; Barcelona: dates to confirm; Deportivo La Coruna: dates to confirm</t>
  </si>
  <si>
    <t>Guillermo Amor</t>
  </si>
  <si>
    <t>Eusebio Sacristan</t>
  </si>
  <si>
    <t>Valladolid, Atletico Madrid, Barcelona, Celta Vigo</t>
  </si>
  <si>
    <t>Valladolid: dates to confirm; Atletico Madrid: dates to confirm; Barcelona: dates to confirm; Celta Vigo: dates to confirm</t>
  </si>
  <si>
    <t>Albert Ferrer</t>
  </si>
  <si>
    <t>Migueli</t>
  </si>
  <si>
    <t>Miguel Angel Nadal</t>
  </si>
  <si>
    <t>Mallorca, Barcelona</t>
  </si>
  <si>
    <t>Mallorca: dates to confirm; Barcelona: dates to confirm</t>
  </si>
  <si>
    <t>Luis Suarez Miramontes</t>
  </si>
  <si>
    <t>Barcelona, Deportivo La Coruna</t>
  </si>
  <si>
    <t>Barcelona: dates to confirm; Deportivo La Coruna: dates to confirm</t>
  </si>
  <si>
    <t>Carmelo Cedrun</t>
  </si>
  <si>
    <t>Athletic Club, Espanyol</t>
  </si>
  <si>
    <t>Athletic Club: dates to confirm; Espanyol: dates to confirm</t>
  </si>
  <si>
    <t>Agustin Gainza</t>
  </si>
  <si>
    <t>Josef Samitier</t>
  </si>
  <si>
    <t>Ricardo Zamora</t>
  </si>
  <si>
    <t>Espanyol, Barcelona, Real Madrid</t>
  </si>
  <si>
    <t>Espanyol: dates to confirm; Barcelona: dates to confirm; Real Madrid: dates to confirm</t>
  </si>
  <si>
    <t>Jose Santamaria</t>
  </si>
  <si>
    <t>Hector Rial</t>
  </si>
  <si>
    <t>Real Madrid: dates to confirm; Espanyol: dates to confirm</t>
  </si>
  <si>
    <t>Amancio</t>
  </si>
  <si>
    <t>Manuel Sanchis</t>
  </si>
  <si>
    <t>Martin Vazquez</t>
  </si>
  <si>
    <t>Real Madrid, Deportivo La Coruna</t>
  </si>
  <si>
    <t>Real Madrid: dates to confirm; Deportivo La Coruna: dates to confirm</t>
  </si>
  <si>
    <t>Michel</t>
  </si>
  <si>
    <t>Manolo Sanchis</t>
  </si>
  <si>
    <t>Rafael Gordillo</t>
  </si>
  <si>
    <t>LB/LM</t>
  </si>
  <si>
    <t>Real Betis, Real Madrid</t>
  </si>
  <si>
    <t>Real Betis: dates to confirm; Real Madrid: dates to confirm</t>
  </si>
  <si>
    <t>Camacho</t>
  </si>
  <si>
    <t>Chendo</t>
  </si>
  <si>
    <t>Miguel Munoz</t>
  </si>
  <si>
    <t>Gunter Netzer</t>
  </si>
  <si>
    <t>Laurie Cunningham</t>
  </si>
  <si>
    <t>Real Madrid, Sporting Gijon, Rayo Vallecano</t>
  </si>
  <si>
    <t>Real Madrid: dates to confirm; Sporting Gijon: dates to confirm; Rayo Vallecano: dates to confirm</t>
  </si>
  <si>
    <t>Jorge Valdano</t>
  </si>
  <si>
    <t>Real Zaragoza, Real Madrid</t>
  </si>
  <si>
    <t>Real Zaragoza: dates to confirm; Real Madrid: dates to confirm</t>
  </si>
  <si>
    <t>Hugo Mallo</t>
  </si>
  <si>
    <t>Celta Vigo</t>
  </si>
  <si>
    <t>Celta Vigo: dates to confirm</t>
  </si>
  <si>
    <t>Santi Mina</t>
  </si>
  <si>
    <t>Celta Vigo, Valencia</t>
  </si>
  <si>
    <t>Celta Vigo: dates to confirm; Valencia: dates to confirm</t>
  </si>
  <si>
    <t>Gerard Moreno</t>
  </si>
  <si>
    <t>Villarreal, Espanyol</t>
  </si>
  <si>
    <t>Villarreal: dates to confirm; Espanyol: dates to confirm</t>
  </si>
  <si>
    <t>Pau Torres</t>
  </si>
  <si>
    <t>Marcos Senna</t>
  </si>
  <si>
    <t>Villarreal</t>
  </si>
  <si>
    <t>Villarreal: dates to confirm</t>
  </si>
  <si>
    <t>Bruno Soriano</t>
  </si>
  <si>
    <t>Juan Pablo Sorin</t>
  </si>
  <si>
    <t>Cafu</t>
  </si>
  <si>
    <t>Fabio Cannavaro</t>
  </si>
  <si>
    <t>Gianluca Zambrotta</t>
  </si>
  <si>
    <t>RB/LB</t>
  </si>
  <si>
    <t>Sonny Anderson</t>
  </si>
  <si>
    <t>Nacho</t>
  </si>
  <si>
    <t>CB/RB</t>
  </si>
  <si>
    <t>Lucas Vazquez</t>
  </si>
  <si>
    <t>Jose Luis Morales</t>
  </si>
  <si>
    <t>Levante, Villarreal</t>
  </si>
  <si>
    <t>Levante: dates to confirm; Villarreal: dates to confirm</t>
  </si>
  <si>
    <t>Diego Maradona</t>
  </si>
  <si>
    <t>Napoli</t>
  </si>
  <si>
    <t>Napoli: 1984-1991</t>
  </si>
  <si>
    <t>Ranked for Serie A impact: prime level first, then league legacy/legend status, with longevity as a supporting factor.</t>
  </si>
  <si>
    <t>Paolo Maldini</t>
  </si>
  <si>
    <t>AC Milan</t>
  </si>
  <si>
    <t>AC Milan: 1984-2009</t>
  </si>
  <si>
    <t>Francesco Totti</t>
  </si>
  <si>
    <t>Roma</t>
  </si>
  <si>
    <t>Roma: 1992-2017</t>
  </si>
  <si>
    <t>Roberto Baggio</t>
  </si>
  <si>
    <t>Fiorentina, Juventus, AC Milan, Bologna, Inter, Brescia</t>
  </si>
  <si>
    <t>Fiorentina: 1985-1990; Juventus: 1990-1995; AC Milan: 1995-1997; Bologna: 1997-1998; Inter: 1998-2000; Brescia: 2000-2004</t>
  </si>
  <si>
    <t>Gianluigi Buffon</t>
  </si>
  <si>
    <t>Parma, Juventus</t>
  </si>
  <si>
    <t>Parma: 1995-2001; Juventus: 2001-2018, 2019-2021</t>
  </si>
  <si>
    <t>Alessandro Del Piero</t>
  </si>
  <si>
    <t>SS/ST</t>
  </si>
  <si>
    <t>Juventus</t>
  </si>
  <si>
    <t>Juventus: 1993-2012</t>
  </si>
  <si>
    <t>Michel Platini</t>
  </si>
  <si>
    <t>Juventus: 1982-1987</t>
  </si>
  <si>
    <t>Juventus: 1996-2001</t>
  </si>
  <si>
    <t>Inter, AC Milan</t>
  </si>
  <si>
    <t>Inter: 1997-2002; AC Milan: 2007-2008</t>
  </si>
  <si>
    <t>Marco van Basten</t>
  </si>
  <si>
    <t>AC Milan: 1987-1995</t>
  </si>
  <si>
    <t>Franco Baresi</t>
  </si>
  <si>
    <t>AC Milan: 1977-1997</t>
  </si>
  <si>
    <t>Giuseppe Meazza</t>
  </si>
  <si>
    <t>Inter, AC Milan, Juventus</t>
  </si>
  <si>
    <t>Inter: dates to confirm; AC Milan: dates to confirm; Juventus: dates to confirm</t>
  </si>
  <si>
    <t>Silvio Piola</t>
  </si>
  <si>
    <t>Pro Vercelli, Lazio, Torino, Juventus, Novara</t>
  </si>
  <si>
    <t>Pro Vercelli: dates to confirm; Lazio: dates to confirm; Torino: dates to confirm; Juventus: dates to confirm; Novara: dates to confirm</t>
  </si>
  <si>
    <t>Gunnar Nordahl</t>
  </si>
  <si>
    <t>AC Milan, Roma</t>
  </si>
  <si>
    <t>AC Milan: dates to confirm; Roma: dates to confirm</t>
  </si>
  <si>
    <t>Gianni Rivera</t>
  </si>
  <si>
    <t>AC Milan, Alessandria</t>
  </si>
  <si>
    <t>AC Milan: dates to confirm; Alessandria: dates to confirm</t>
  </si>
  <si>
    <t>Andrea Pirlo</t>
  </si>
  <si>
    <t>Brescia, Inter, Reggina, AC Milan, Juventus</t>
  </si>
  <si>
    <t>Brescia: 1995-1998, 2001; Inter: 1998-2001; Reggina: 1999-2000; AC Milan: 2001-2011; Juventus: 2011-2015</t>
  </si>
  <si>
    <t>Gabriel Batistuta</t>
  </si>
  <si>
    <t>Fiorentina, Roma, Inter</t>
  </si>
  <si>
    <t>Fiorentina: 1991-2000; Roma: 2000-2003; Inter: 2003</t>
  </si>
  <si>
    <t>Kaka</t>
  </si>
  <si>
    <t>AC Milan: 2003-2009, 2013-2014</t>
  </si>
  <si>
    <t>Ruud Gullit</t>
  </si>
  <si>
    <t>AC Milan, Sampdoria</t>
  </si>
  <si>
    <t>AC Milan: dates to confirm; Sampdoria: dates to confirm</t>
  </si>
  <si>
    <t>Lothar Matthaus</t>
  </si>
  <si>
    <t>Inter</t>
  </si>
  <si>
    <t>Inter: dates to confirm</t>
  </si>
  <si>
    <t>Javier Zanetti</t>
  </si>
  <si>
    <t>RB/DM</t>
  </si>
  <si>
    <t>Inter: 1995-2014</t>
  </si>
  <si>
    <t>Alessandro Nesta</t>
  </si>
  <si>
    <t>Lazio, AC Milan</t>
  </si>
  <si>
    <t>Lazio: 1993-2002; AC Milan: 2002-2012</t>
  </si>
  <si>
    <t>Napoli, Parma, Inter, Juventus</t>
  </si>
  <si>
    <t>Napoli: 1992-1995; Parma: 1995-2002; Inter: 2002-2004; Juventus: 2004-2006, 2009-2010</t>
  </si>
  <si>
    <t>Paolo Rossi</t>
  </si>
  <si>
    <t>Vicenza, Perugia, Juventus, AC Milan, Verona</t>
  </si>
  <si>
    <t>Vicenza: dates to confirm; Perugia: dates to confirm; Juventus: dates to confirm; AC Milan: dates to confirm; Verona: dates to confirm</t>
  </si>
  <si>
    <t>Gigi Riva</t>
  </si>
  <si>
    <t>Cagliari</t>
  </si>
  <si>
    <t>Cagliari: dates to confirm</t>
  </si>
  <si>
    <t>Roberto Mancini</t>
  </si>
  <si>
    <t>Bologna, Sampdoria, Lazio</t>
  </si>
  <si>
    <t>Bologna: dates to confirm; Sampdoria: dates to confirm; Lazio: dates to confirm</t>
  </si>
  <si>
    <t>Christian Vieri</t>
  </si>
  <si>
    <t>Torino, Atalanta, Juventus, Lazio, Inter, AC Milan, Fiorentina</t>
  </si>
  <si>
    <t>Torino: 1991-1992; Atalanta: 1995-1996, 2006-2007, 2008-2009; Juventus: 1996-1997; Lazio: 1998-1999; Inter: 1999-2005; AC Milan: 2005-2006; Fiorentina: 2007-2008</t>
  </si>
  <si>
    <t>Zlatan Ibrahimovic</t>
  </si>
  <si>
    <t>Juventus, Inter, AC Milan</t>
  </si>
  <si>
    <t>Juventus: 2004-2006; Inter: 2006-2009; AC Milan: 2010-2012, 2020-2023</t>
  </si>
  <si>
    <t>Andriy Shevchenko</t>
  </si>
  <si>
    <t>AC Milan: 1999-2006, 2008-2009</t>
  </si>
  <si>
    <t>Sampdoria, Inter, AC Milan</t>
  </si>
  <si>
    <t>Sampdoria: dates to confirm; Inter: dates to confirm; AC Milan: dates to confirm</t>
  </si>
  <si>
    <t>Roma, AC Milan</t>
  </si>
  <si>
    <t>Roma: 1997-2003; AC Milan: 2003-2008</t>
  </si>
  <si>
    <t>Pavel Nedved</t>
  </si>
  <si>
    <t>Lazio, Juventus</t>
  </si>
  <si>
    <t>Lazio: 1996-2001; Juventus: 2001-2009</t>
  </si>
  <si>
    <t>Napoli, Parma, Cagliari</t>
  </si>
  <si>
    <t>Napoli: 1989-1993; Parma: 1993-1996; Cagliari: 2003-2005</t>
  </si>
  <si>
    <t>Dino Zoff</t>
  </si>
  <si>
    <t>Udinese, Mantova, Napoli, Juventus</t>
  </si>
  <si>
    <t>Udinese: 1961-1963; Mantova: 1963-1967; Napoli: 1967-1972; Juventus: 1972-1983</t>
  </si>
  <si>
    <t>Gaetano Scirea</t>
  </si>
  <si>
    <t>CB/Sweeper</t>
  </si>
  <si>
    <t>Atalanta, Juventus</t>
  </si>
  <si>
    <t>Atalanta: dates to confirm; Juventus: dates to confirm</t>
  </si>
  <si>
    <t>Sandro Mazzola</t>
  </si>
  <si>
    <t>Giampiero Boniperti</t>
  </si>
  <si>
    <t>Juventus: dates to confirm</t>
  </si>
  <si>
    <t>Alessandro Altobelli</t>
  </si>
  <si>
    <t>Brescia, Inter, Juventus</t>
  </si>
  <si>
    <t>Brescia: dates to confirm; Inter: dates to confirm; Juventus: dates to confirm</t>
  </si>
  <si>
    <t>Giacinto Facchetti</t>
  </si>
  <si>
    <t>Giuseppe Bergomi</t>
  </si>
  <si>
    <t>Tarcisio Burgnich</t>
  </si>
  <si>
    <t>Udinese, Juventus, Palermo, Inter, Napoli</t>
  </si>
  <si>
    <t>Udinese: dates to confirm; Juventus: dates to confirm; Palermo: dates to confirm; Inter: dates to confirm; Napoli: dates to confirm</t>
  </si>
  <si>
    <t>Claudio Gentile</t>
  </si>
  <si>
    <t>Varese, Juventus, Fiorentina</t>
  </si>
  <si>
    <t>Varese: dates to confirm; Juventus: dates to confirm; Fiorentina: dates to confirm</t>
  </si>
  <si>
    <t>Antonio Cabrini</t>
  </si>
  <si>
    <t>Juventus, Bologna</t>
  </si>
  <si>
    <t>Juventus: dates to confirm; Bologna: dates to confirm</t>
  </si>
  <si>
    <t>Marco Tardelli</t>
  </si>
  <si>
    <t>Como, Juventus, Inter</t>
  </si>
  <si>
    <t>Como: dates to confirm; Juventus: dates to confirm; Inter: dates to confirm</t>
  </si>
  <si>
    <t>Roberto Donadoni</t>
  </si>
  <si>
    <t>RW/LM</t>
  </si>
  <si>
    <t>Atalanta, AC Milan</t>
  </si>
  <si>
    <t>Atalanta: dates to confirm; AC Milan: dates to confirm</t>
  </si>
  <si>
    <t>Demetrio Albertini</t>
  </si>
  <si>
    <t>AC Milan, Lazio, Atalanta</t>
  </si>
  <si>
    <t>AC Milan: dates to confirm; Lazio: dates to confirm; Atalanta: dates to confirm</t>
  </si>
  <si>
    <t>Filippo Inzaghi</t>
  </si>
  <si>
    <t>Parma, Atalanta, Juventus, AC Milan</t>
  </si>
  <si>
    <t>Parma: 1995-1996; Atalanta: 1996-1997; Juventus: 1997-2001; AC Milan: 2001-2012</t>
  </si>
  <si>
    <t>Ciro Immobile</t>
  </si>
  <si>
    <t>Torino, Genoa, Lazio</t>
  </si>
  <si>
    <t>Torino: 2013-2014; Genoa: 2012-2013; Lazio: 2016-2024</t>
  </si>
  <si>
    <t>Antonio Di Natale</t>
  </si>
  <si>
    <t>Empoli, Udinese</t>
  </si>
  <si>
    <t>Empoli: 1996-2004; Udinese: 2004-2016</t>
  </si>
  <si>
    <t>Hernan Crespo</t>
  </si>
  <si>
    <t>Parma, Lazio, Inter, AC Milan, Genoa</t>
  </si>
  <si>
    <t>Parma: dates to confirm; Lazio: dates to confirm; Inter: dates to confirm; AC Milan: dates to confirm; Genoa: dates to confirm</t>
  </si>
  <si>
    <t>Edinson Cavani</t>
  </si>
  <si>
    <t>Palermo, Napoli</t>
  </si>
  <si>
    <t>Palermo: 2007-2010; Napoli: 2010-2013</t>
  </si>
  <si>
    <t>Gonzalo Higuain</t>
  </si>
  <si>
    <t>Napoli, Juventus, AC Milan</t>
  </si>
  <si>
    <t>Napoli: dates to confirm; Juventus: dates to confirm; AC Milan: dates to confirm</t>
  </si>
  <si>
    <t>Lautaro Martinez</t>
  </si>
  <si>
    <t>Inter: 2018-present</t>
  </si>
  <si>
    <t>Mauro Icardi</t>
  </si>
  <si>
    <t>Sampdoria, Inter</t>
  </si>
  <si>
    <t>Sampdoria: dates to confirm; Inter: dates to confirm</t>
  </si>
  <si>
    <t>Paulo Dybala</t>
  </si>
  <si>
    <t>Palermo, Juventus, Roma</t>
  </si>
  <si>
    <t>Palermo: dates to confirm; Juventus: dates to confirm; Roma: dates to confirm</t>
  </si>
  <si>
    <t>Lorenzo Insigne</t>
  </si>
  <si>
    <t>Napoli: dates to confirm</t>
  </si>
  <si>
    <t>Dries Mertens</t>
  </si>
  <si>
    <t>Marek Hamsik</t>
  </si>
  <si>
    <t>Brescia, Napoli</t>
  </si>
  <si>
    <t>Brescia: dates to confirm; Napoli: dates to confirm</t>
  </si>
  <si>
    <t>Fabio Quagliarella</t>
  </si>
  <si>
    <t>Torino, Udinese, Napoli, Juventus, Sampdoria</t>
  </si>
  <si>
    <t>Torino: dates to confirm; Udinese: dates to confirm; Napoli: dates to confirm; Juventus: dates to confirm; Sampdoria: dates to confirm</t>
  </si>
  <si>
    <t>Alberto Gilardino</t>
  </si>
  <si>
    <t>Piacenza, Verona, Parma, AC Milan, Fiorentina, Genoa, Bologna, Palermo</t>
  </si>
  <si>
    <t>Piacenza: dates to confirm; Verona: dates to confirm; Parma: dates to confirm; AC Milan: dates to confirm; Fiorentina: dates to confirm; Genoa: dates to confirm; Bologna: dates to confirm; Palermo: dates to confirm</t>
  </si>
  <si>
    <t>Luca Toni</t>
  </si>
  <si>
    <t>Brescia, Palermo, Fiorentina, Roma, Genoa, Juventus, Verona</t>
  </si>
  <si>
    <t>Brescia: dates to confirm; Palermo: dates to confirm; Fiorentina: dates to confirm; Roma: dates to confirm; Genoa: dates to confirm; Juventus: dates to confirm; Verona: dates to confirm</t>
  </si>
  <si>
    <t>Vincenzo Montella</t>
  </si>
  <si>
    <t>Sampdoria, Roma</t>
  </si>
  <si>
    <t>Sampdoria: dates to confirm; Roma: dates to confirm</t>
  </si>
  <si>
    <t>Giuseppe Signori</t>
  </si>
  <si>
    <t>Foggia, Lazio, Sampdoria, Bologna</t>
  </si>
  <si>
    <t>Foggia: dates to confirm; Lazio: dates to confirm; Sampdoria: dates to confirm; Bologna: dates to confirm</t>
  </si>
  <si>
    <t>Sinisa Mihajlovic</t>
  </si>
  <si>
    <t>Roma, Sampdoria, Lazio, Inter</t>
  </si>
  <si>
    <t>Roma: dates to confirm; Sampdoria: dates to confirm; Lazio: dates to confirm; Inter: dates to confirm</t>
  </si>
  <si>
    <t>Dejan Stankovic</t>
  </si>
  <si>
    <t>Lazio, Inter</t>
  </si>
  <si>
    <t>Lazio: dates to confirm; Inter: dates to confirm</t>
  </si>
  <si>
    <t>Juan Sebastian Veron</t>
  </si>
  <si>
    <t>Sampdoria, Parma, Lazio, Inter</t>
  </si>
  <si>
    <t>Sampdoria: dates to confirm; Parma: dates to confirm; Lazio: dates to confirm; Inter: dates to confirm</t>
  </si>
  <si>
    <t>Edgar Davids</t>
  </si>
  <si>
    <t>AC Milan, Juventus, Inter</t>
  </si>
  <si>
    <t>AC Milan: dates to confirm; Juventus: dates to confirm; Inter: dates to confirm</t>
  </si>
  <si>
    <t>AC Milan: dates to confirm</t>
  </si>
  <si>
    <t>Frank Rijkaard</t>
  </si>
  <si>
    <t>DM/CB</t>
  </si>
  <si>
    <t>George Weah</t>
  </si>
  <si>
    <t>Maicon</t>
  </si>
  <si>
    <t>Inter, Roma</t>
  </si>
  <si>
    <t>Inter: dates to confirm; Roma: dates to confirm</t>
  </si>
  <si>
    <t>Walter Samuel</t>
  </si>
  <si>
    <t>Roma, Inter</t>
  </si>
  <si>
    <t>Roma: dates to confirm; Inter: dates to confirm</t>
  </si>
  <si>
    <t>Lucio</t>
  </si>
  <si>
    <t>Inter, Juventus</t>
  </si>
  <si>
    <t>Inter: dates to confirm; Juventus: dates to confirm</t>
  </si>
  <si>
    <t>Inter, Sampdoria</t>
  </si>
  <si>
    <t>Inter: dates to confirm; Sampdoria: dates to confirm</t>
  </si>
  <si>
    <t>Wesley Sneijder</t>
  </si>
  <si>
    <t>Diego Milito</t>
  </si>
  <si>
    <t>Genoa, Inter</t>
  </si>
  <si>
    <t>Genoa: dates to confirm; Inter: dates to confirm</t>
  </si>
  <si>
    <t>Esteban Cambiasso</t>
  </si>
  <si>
    <t>Julio Cesar</t>
  </si>
  <si>
    <t>Samir Handanovic</t>
  </si>
  <si>
    <t>Udinese, Inter</t>
  </si>
  <si>
    <t>Udinese: dates to confirm; Inter: dates to confirm</t>
  </si>
  <si>
    <t>Giorgio Chiellini</t>
  </si>
  <si>
    <t>Fiorentina, Juventus</t>
  </si>
  <si>
    <t>Fiorentina: dates to confirm; Juventus: dates to confirm</t>
  </si>
  <si>
    <t>Leonardo Bonucci</t>
  </si>
  <si>
    <t>Inter, Bari, Juventus, AC Milan</t>
  </si>
  <si>
    <t>Inter: dates to confirm; Bari: dates to confirm; Juventus: dates to confirm; AC Milan: dates to confirm</t>
  </si>
  <si>
    <t>Andrea Barzagli</t>
  </si>
  <si>
    <t>Chievo, Palermo, Juventus</t>
  </si>
  <si>
    <t>Chievo: dates to confirm; Palermo: dates to confirm; Juventus: dates to confirm</t>
  </si>
  <si>
    <t>Paul Pogba</t>
  </si>
  <si>
    <t>Arturo Vidal</t>
  </si>
  <si>
    <t>Juventus, Inter</t>
  </si>
  <si>
    <t>Juventus: dates to confirm; Inter: dates to confirm</t>
  </si>
  <si>
    <t>Claudio Marchisio</t>
  </si>
  <si>
    <t>Federico Chiesa</t>
  </si>
  <si>
    <t>Dusan Vlahovic</t>
  </si>
  <si>
    <t>Khvicha Kvaratskhelia</t>
  </si>
  <si>
    <t>Napoli: 2022-2025</t>
  </si>
  <si>
    <t>Victor Osimhen</t>
  </si>
  <si>
    <t>Napoli: 2020-2024</t>
  </si>
  <si>
    <t>Kim Min-jae</t>
  </si>
  <si>
    <t>Kalidou Koulibaly</t>
  </si>
  <si>
    <t>Jorginho</t>
  </si>
  <si>
    <t>Verona, Napoli</t>
  </si>
  <si>
    <t>Verona: dates to confirm; Napoli: dates to confirm</t>
  </si>
  <si>
    <t>Thiago Silva</t>
  </si>
  <si>
    <t>Zvonimir Boban</t>
  </si>
  <si>
    <t>Dejan Savicevic</t>
  </si>
  <si>
    <t>Jean-Pierre Papin</t>
  </si>
  <si>
    <t>Oliver Bierhoff</t>
  </si>
  <si>
    <t>Ascoli, Udinese, AC Milan, Chievo</t>
  </si>
  <si>
    <t>Ascoli: dates to confirm; Udinese: dates to confirm; AC Milan: dates to confirm; Chievo: dates to confirm</t>
  </si>
  <si>
    <t>Daniele De Rossi</t>
  </si>
  <si>
    <t>Roma: dates to confirm</t>
  </si>
  <si>
    <t>Bruno Conti</t>
  </si>
  <si>
    <t>Aldair</t>
  </si>
  <si>
    <t>Rui Costa</t>
  </si>
  <si>
    <t>Fiorentina, AC Milan</t>
  </si>
  <si>
    <t>Fiorentina: dates to confirm; AC Milan: dates to confirm</t>
  </si>
  <si>
    <t>Juan Cuadrado</t>
  </si>
  <si>
    <t>Udinese, Lecce, Fiorentina, Juventus, Inter, Atalanta</t>
  </si>
  <si>
    <t>Udinese: dates to confirm; Lecce: dates to confirm; Fiorentina: dates to confirm; Juventus: dates to confirm; Inter: dates to confirm; Atalanta: dates to confirm</t>
  </si>
  <si>
    <t>Alex Sandro</t>
  </si>
  <si>
    <t>Stephan Lichtsteiner</t>
  </si>
  <si>
    <t>Lazio: dates to confirm; Juventus: dates to confirm</t>
  </si>
  <si>
    <t>Miralem Pjanic</t>
  </si>
  <si>
    <t>Roma, Juventus</t>
  </si>
  <si>
    <t>Roma: dates to confirm; Juventus: dates to confirm</t>
  </si>
  <si>
    <t>Mehdi Benatia</t>
  </si>
  <si>
    <t>Udinese, Roma, Juventus</t>
  </si>
  <si>
    <t>Udinese: dates to confirm; Roma: dates to confirm; Juventus: dates to confirm</t>
  </si>
  <si>
    <t>Paulo Sousa</t>
  </si>
  <si>
    <t>Juventus, Inter, Parma</t>
  </si>
  <si>
    <t>Juventus: dates to confirm; Inter: dates to confirm; Parma: dates to confirm</t>
  </si>
  <si>
    <t>Angelo Peruzzi</t>
  </si>
  <si>
    <t>Roma, Juventus, Inter, Lazio</t>
  </si>
  <si>
    <t>Roma: dates to confirm; Juventus: dates to confirm; Inter: dates to confirm; Lazio: dates to confirm</t>
  </si>
  <si>
    <t>Gianluca Vialli</t>
  </si>
  <si>
    <t>Cremonese, Sampdoria, Juventus</t>
  </si>
  <si>
    <t>Cremonese: dates to confirm; Sampdoria: dates to confirm; Juventus: dates to confirm</t>
  </si>
  <si>
    <t>Attilio Lombardo</t>
  </si>
  <si>
    <t>RM/RW</t>
  </si>
  <si>
    <t>Cremonese, Sampdoria, Juventus, Lazio</t>
  </si>
  <si>
    <t>Cremonese: dates to confirm; Sampdoria: dates to confirm; Juventus: dates to confirm; Lazio: dates to confirm</t>
  </si>
  <si>
    <t>Pietro Vierchowod</t>
  </si>
  <si>
    <t>Como, Fiorentina, Roma, Sampdoria, Juventus, AC Milan, Piacenza</t>
  </si>
  <si>
    <t>Como: dates to confirm; Fiorentina: dates to confirm; Roma: dates to confirm; Sampdoria: dates to confirm; Juventus: dates to confirm; AC Milan: dates to confirm; Piacenza: dates to confirm</t>
  </si>
  <si>
    <t>Ciro Ferrara</t>
  </si>
  <si>
    <t>Napoli, Juventus</t>
  </si>
  <si>
    <t>Napoli: dates to confirm; Juventus: dates to confirm</t>
  </si>
  <si>
    <t>Fabio Capello</t>
  </si>
  <si>
    <t>Roma, Juventus, AC Milan</t>
  </si>
  <si>
    <t>Roma: dates to confirm; Juventus: dates to confirm; AC Milan: dates to confirm</t>
  </si>
  <si>
    <t>Jose Altafini</t>
  </si>
  <si>
    <t>AC Milan, Napoli, Juventus</t>
  </si>
  <si>
    <t>AC Milan: dates to confirm; Napoli: dates to confirm; Juventus: dates to confirm</t>
  </si>
  <si>
    <t>Karl-Heinz Rummenigge</t>
  </si>
  <si>
    <t>Nils Liedholm</t>
  </si>
  <si>
    <t>Gunnar Gren</t>
  </si>
  <si>
    <t>AC Milan, Fiorentina, Genoa</t>
  </si>
  <si>
    <t>AC Milan: dates to confirm; Fiorentina: dates to confirm; Genoa: dates to confirm</t>
  </si>
  <si>
    <t>Alessandro Costacurta</t>
  </si>
  <si>
    <t>Mauro Tassotti</t>
  </si>
  <si>
    <t>Lazio: dates to confirm; AC Milan: dates to confirm</t>
  </si>
  <si>
    <t>Dida</t>
  </si>
  <si>
    <t>Sebastiano Rossi</t>
  </si>
  <si>
    <t>Cesena, AC Milan, Perugia</t>
  </si>
  <si>
    <t>Cesena: dates to confirm; AC Milan: dates to confirm; Perugia: dates to confirm</t>
  </si>
  <si>
    <t>Filippo Galli</t>
  </si>
  <si>
    <t>Massimo Ambrosini</t>
  </si>
  <si>
    <t>Cesena, AC Milan, Fiorentina</t>
  </si>
  <si>
    <t>Cesena: dates to confirm; AC Milan: dates to confirm; Fiorentina: dates to confirm</t>
  </si>
  <si>
    <t>Gennaro Gattuso</t>
  </si>
  <si>
    <t>Salernitana, AC Milan</t>
  </si>
  <si>
    <t>Salernitana: dates to confirm; AC Milan: dates to confirm</t>
  </si>
  <si>
    <t>Serginho</t>
  </si>
  <si>
    <t>Leonardo</t>
  </si>
  <si>
    <t>Alexandre Pato</t>
  </si>
  <si>
    <t>Robinho</t>
  </si>
  <si>
    <t>Sergej Milinkovic-Savic</t>
  </si>
  <si>
    <t>Lazio</t>
  </si>
  <si>
    <t>Lazio: dates to confirm</t>
  </si>
  <si>
    <t>Luis Alberto</t>
  </si>
  <si>
    <t>Miroslav Klose</t>
  </si>
  <si>
    <t>Marcelo Salas</t>
  </si>
  <si>
    <t>Giuseppe Favalli</t>
  </si>
  <si>
    <t>Cremonese, Lazio, Inter, AC Milan</t>
  </si>
  <si>
    <t>Cremonese: dates to confirm; Lazio: dates to confirm; Inter: dates to confirm; AC Milan: dates to confirm</t>
  </si>
  <si>
    <t>Hernanes</t>
  </si>
  <si>
    <t>Lazio, Inter, Juventus</t>
  </si>
  <si>
    <t>Lazio: dates to confirm; Inter: dates to confirm; Juventus: dates to confirm</t>
  </si>
  <si>
    <t>Francesco Acerbi</t>
  </si>
  <si>
    <t>Chievo, AC Milan, Sassuolo, Lazio, Inter</t>
  </si>
  <si>
    <t>Chievo: dates to confirm; AC Milan: dates to confirm; Sassuolo: dates to confirm; Lazio: dates to confirm; Inter: dates to confirm</t>
  </si>
  <si>
    <t>Ivan Perisic</t>
  </si>
  <si>
    <t>LW/LM</t>
  </si>
  <si>
    <t>Inter, Roma, Napoli</t>
  </si>
  <si>
    <t>Inter: dates to confirm; Roma: dates to confirm; Napoli: dates to confirm</t>
  </si>
  <si>
    <t>Nicolo Barella</t>
  </si>
  <si>
    <t>Cagliari, Inter</t>
  </si>
  <si>
    <t>Cagliari: dates to confirm; Inter: dates to confirm</t>
  </si>
  <si>
    <t>Marcelo Brozovic</t>
  </si>
  <si>
    <t>Alessandro Bastoni</t>
  </si>
  <si>
    <t>Atalanta, Parma, Inter</t>
  </si>
  <si>
    <t>Atalanta: dates to confirm; Parma: dates to confirm; Inter: dates to confirm</t>
  </si>
  <si>
    <t>Hakan Calhanoglu</t>
  </si>
  <si>
    <t>AC Milan, Inter</t>
  </si>
  <si>
    <t>AC Milan: dates to confirm; Inter: dates to confirm</t>
  </si>
  <si>
    <t>Edin Dzeko</t>
  </si>
  <si>
    <t>Lorenzo Pellegrini</t>
  </si>
  <si>
    <t>Roma, Sassuolo</t>
  </si>
  <si>
    <t>Roma: dates to confirm; Sassuolo: dates to confirm</t>
  </si>
  <si>
    <t>Radja Nainggolan</t>
  </si>
  <si>
    <t>Piacenza, Cagliari, Roma, Inter</t>
  </si>
  <si>
    <t>Piacenza: dates to confirm; Cagliari: dates to confirm; Roma: dates to confirm; Inter: dates to confirm</t>
  </si>
  <si>
    <t>Fiorentina, Roma</t>
  </si>
  <si>
    <t>Fiorentina: 2015; Roma: 2015-2017</t>
  </si>
  <si>
    <t>Roma: 2016-2018</t>
  </si>
  <si>
    <t>Marquinhos</t>
  </si>
  <si>
    <t>Walter Zenga</t>
  </si>
  <si>
    <t>Inter, Sampdoria, Padova</t>
  </si>
  <si>
    <t>Inter: dates to confirm; Sampdoria: dates to confirm; Padova: dates to confirm</t>
  </si>
  <si>
    <t>Giuseppe Giannini</t>
  </si>
  <si>
    <t>Roma, Napoli, Lecce</t>
  </si>
  <si>
    <t>Roma: dates to confirm; Napoli: dates to confirm; Lecce: dates to confirm</t>
  </si>
  <si>
    <t>Rudi Voller</t>
  </si>
  <si>
    <t>Antonio Cassano</t>
  </si>
  <si>
    <t>Bari, Roma, Sampdoria, AC Milan, Inter, Parma</t>
  </si>
  <si>
    <t>Bari: dates to confirm; Roma: dates to confirm; Sampdoria: dates to confirm; AC Milan: dates to confirm; Inter: dates to confirm; Parma: dates to confirm</t>
  </si>
  <si>
    <t>Francesco Antonioli</t>
  </si>
  <si>
    <t>AC Milan, Roma, Sampdoria, Bologna, Cesena</t>
  </si>
  <si>
    <t>AC Milan: dates to confirm; Roma: dates to confirm; Sampdoria: dates to confirm; Bologna: dates to confirm; Cesena: dates to confirm</t>
  </si>
  <si>
    <t>Fabio Liverani</t>
  </si>
  <si>
    <t>Perugia, Lazio, Fiorentina, Palermo</t>
  </si>
  <si>
    <t>Perugia: dates to confirm; Lazio: dates to confirm; Fiorentina: dates to confirm; Palermo: dates to confirm</t>
  </si>
  <si>
    <t>Roberto Pruzzo</t>
  </si>
  <si>
    <t>Genoa, Roma, Fiorentina</t>
  </si>
  <si>
    <t>Genoa: dates to confirm; Roma: dates to confirm; Fiorentina: dates to confirm</t>
  </si>
  <si>
    <t>Dino Baggio</t>
  </si>
  <si>
    <t>Torino, Inter, Juventus, Parma, Lazio</t>
  </si>
  <si>
    <t>Torino: dates to confirm; Inter: dates to confirm; Juventus: dates to confirm; Parma: dates to confirm; Lazio: dates to confirm</t>
  </si>
  <si>
    <t>Enrico Chiesa</t>
  </si>
  <si>
    <t>Sampdoria, Parma, Fiorentina, Lazio, Siena</t>
  </si>
  <si>
    <t>Sampdoria: dates to confirm; Parma: dates to confirm; Fiorentina: dates to confirm; Lazio: dates to confirm; Siena: dates to confirm</t>
  </si>
  <si>
    <t>Valentino Mazzola</t>
  </si>
  <si>
    <t>Venezia, Torino</t>
  </si>
  <si>
    <t>Venezia: dates to confirm; Torino: dates to confirm</t>
  </si>
  <si>
    <t>Ezio Loik</t>
  </si>
  <si>
    <t>Guglielmo Gabetto</t>
  </si>
  <si>
    <t>Juventus, Torino</t>
  </si>
  <si>
    <t>Juventus: dates to confirm; Torino: dates to confirm</t>
  </si>
  <si>
    <t>Amedeo Amadei</t>
  </si>
  <si>
    <t>Roma, Inter, Napoli</t>
  </si>
  <si>
    <t>Roma: dates to confirm; Inter: dates to confirm; Napoli: dates to confirm</t>
  </si>
  <si>
    <t>Kurt Hamrin</t>
  </si>
  <si>
    <t>Juventus, Padova, Fiorentina, AC Milan, Napoli</t>
  </si>
  <si>
    <t>Juventus: dates to confirm; Padova: dates to confirm; Fiorentina: dates to confirm; AC Milan: dates to confirm; Napoli: dates to confirm</t>
  </si>
  <si>
    <t>Giancarlo Antognoni</t>
  </si>
  <si>
    <t>Fiorentina</t>
  </si>
  <si>
    <t>Fiorentina: dates to confirm</t>
  </si>
  <si>
    <t>Giuseppe Savoldi</t>
  </si>
  <si>
    <t>Atalanta, Bologna, Napoli</t>
  </si>
  <si>
    <t>Atalanta: dates to confirm; Bologna: dates to confirm; Napoli: dates to confirm</t>
  </si>
  <si>
    <t>Roberto Boninsegna</t>
  </si>
  <si>
    <t>Cagliari, Inter, Juventus</t>
  </si>
  <si>
    <t>Cagliari: dates to confirm; Inter: dates to confirm; Juventus: dates to confirm</t>
  </si>
  <si>
    <t>Luigi Riva</t>
  </si>
  <si>
    <t>Sandro Tonali</t>
  </si>
  <si>
    <t>Brescia, AC Milan</t>
  </si>
  <si>
    <t>Brescia: dates to confirm; AC Milan: dates to confirm</t>
  </si>
  <si>
    <t>Rafael Leao</t>
  </si>
  <si>
    <t>Theo Hernandez</t>
  </si>
  <si>
    <t>Mike Maignan</t>
  </si>
  <si>
    <t>Federico Dimarco</t>
  </si>
  <si>
    <t>LB/LWB</t>
  </si>
  <si>
    <t>Inter, Parma, Verona</t>
  </si>
  <si>
    <t>Inter: dates to confirm; Parma: dates to confirm; Verona: dates to confirm</t>
  </si>
  <si>
    <t>Gleison Bremer</t>
  </si>
  <si>
    <t>Torino, Juventus</t>
  </si>
  <si>
    <t>Torino: dates to confirm; Juventus: dates to confirm</t>
  </si>
  <si>
    <t>Gianluca Pagliuca</t>
  </si>
  <si>
    <t>Sampdoria, Inter, Bologna, Ascoli</t>
  </si>
  <si>
    <t>Sampdoria: dates to confirm; Inter: dates to confirm; Bologna: dates to confirm; Ascoli: dates to confirm</t>
  </si>
  <si>
    <t>Marco Materazzi</t>
  </si>
  <si>
    <t>Perugia, Inter</t>
  </si>
  <si>
    <t>Perugia: dates to confirm; Inter: dates to confirm</t>
  </si>
  <si>
    <t>Christian Panucci</t>
  </si>
  <si>
    <t>Genoa, AC Milan, Inter, Roma, Parma</t>
  </si>
  <si>
    <t>Genoa: dates to confirm; AC Milan: dates to confirm; Inter: dates to confirm; Roma: dates to confirm; Parma: dates to confirm</t>
  </si>
  <si>
    <t>Bari, Juventus, AC Milan</t>
  </si>
  <si>
    <t>Bari: dates to confirm; Juventus: dates to confirm; AC Milan: dates to confirm</t>
  </si>
  <si>
    <t>Ezequiel Lavezzi</t>
  </si>
  <si>
    <t>Giuseppe Rossi</t>
  </si>
  <si>
    <t>Parma, Fiorentina, Genoa</t>
  </si>
  <si>
    <t>Parma: dates to confirm; Fiorentina: dates to confirm; Genoa: dates to confirm</t>
  </si>
  <si>
    <t>Marek Jankulovski</t>
  </si>
  <si>
    <t>Napoli, Udinese, AC Milan</t>
  </si>
  <si>
    <t>Napoli: dates to confirm; Udinese: dates to confirm; AC Milan: dates to confirm</t>
  </si>
  <si>
    <t>David Pizarro</t>
  </si>
  <si>
    <t>Udinese, Inter, Roma, Fiorentina</t>
  </si>
  <si>
    <t>Udinese: dates to confirm; Inter: dates to confirm; Roma: dates to confirm; Fiorentina: dates to confirm</t>
  </si>
  <si>
    <t>Rodrigo Palacio</t>
  </si>
  <si>
    <t>Genoa, Inter, Bologna, Brescia</t>
  </si>
  <si>
    <t>Genoa: dates to confirm; Inter: dates to confirm; Bologna: dates to confirm; Brescia: dates to confirm</t>
  </si>
  <si>
    <t>Fabio Grosso</t>
  </si>
  <si>
    <t>Perugia, Palermo, Inter, Juventus</t>
  </si>
  <si>
    <t>Perugia: dates to confirm; Palermo: dates to confirm; Inter: dates to confirm; Juventus: dates to confirm</t>
  </si>
  <si>
    <t>Domenico Berardi</t>
  </si>
  <si>
    <t>Sassuolo</t>
  </si>
  <si>
    <t>Sassuolo: dates to confirm</t>
  </si>
  <si>
    <t>Andrea Belotti</t>
  </si>
  <si>
    <t>Palermo, Torino, Roma, Como</t>
  </si>
  <si>
    <t>Palermo: dates to confirm; Torino: dates to confirm; Roma: dates to confirm; Como: dates to confirm</t>
  </si>
  <si>
    <t>Francesco Caputo</t>
  </si>
  <si>
    <t>Bari, Empoli, Sassuolo, Sampdoria, Empoli</t>
  </si>
  <si>
    <t>Bari: dates to confirm; Empoli: dates to confirm; Sassuolo: dates to confirm; Sampdoria: dates to confirm; Empoli: dates to confirm</t>
  </si>
  <si>
    <t>Antonio Candreva</t>
  </si>
  <si>
    <t>Udinese, Livorno, Juventus, Parma, Lazio, Inter, Sampdoria, Salernitana</t>
  </si>
  <si>
    <t>Udinese: dates to confirm; Livorno: dates to confirm; Juventus: dates to confirm; Parma: dates to confirm; Lazio: dates to confirm; Inter: dates to confirm; Sampdoria: dates to confirm; Salernitana: dates to confirm</t>
  </si>
  <si>
    <t>Alessandro Florenzi</t>
  </si>
  <si>
    <t>Roma: dates to confirm; AC Milan: dates to confirm</t>
  </si>
  <si>
    <t>Papu Gomez</t>
  </si>
  <si>
    <t>Catania, Atalanta</t>
  </si>
  <si>
    <t>Catania: dates to confirm; Atalanta: dates to confirm</t>
  </si>
  <si>
    <t>Josip Ilicic</t>
  </si>
  <si>
    <t>Palermo, Fiorentina, Atalanta</t>
  </si>
  <si>
    <t>Palermo: dates to confirm; Fiorentina: dates to confirm; Atalanta: dates to confirm</t>
  </si>
  <si>
    <t>Henrikh Mkhitaryan</t>
  </si>
  <si>
    <t>Rafael Toloi</t>
  </si>
  <si>
    <t>Roma, Atalanta</t>
  </si>
  <si>
    <t>Roma: dates to confirm; Atalanta: dates to confirm</t>
  </si>
  <si>
    <t>Mauro Camoranesi</t>
  </si>
  <si>
    <t>Verona, Juventus</t>
  </si>
  <si>
    <t>Verona: dates to confirm; Juventus: dates to confirm</t>
  </si>
  <si>
    <t>Antonio Conte</t>
  </si>
  <si>
    <t>Lecce, Juventus</t>
  </si>
  <si>
    <t>Lecce: dates to confirm; Juventus: dates to confirm</t>
  </si>
  <si>
    <t>Angelo Di Livio</t>
  </si>
  <si>
    <t>Padova, Juventus, Fiorentina</t>
  </si>
  <si>
    <t>Padova: dates to confirm; Juventus: dates to confirm; Fiorentina: dates to confirm</t>
  </si>
  <si>
    <t>Pierluigi Casiraghi</t>
  </si>
  <si>
    <t>Monza, Juventus, Lazio</t>
  </si>
  <si>
    <t>Monza: dates to confirm; Juventus: dates to confirm; Lazio: dates to confirm</t>
  </si>
  <si>
    <t>Fabrizio Ravanelli</t>
  </si>
  <si>
    <t>Juventus, Lazio, Perugia</t>
  </si>
  <si>
    <t>Juventus: dates to confirm; Lazio: dates to confirm; Perugia: dates to confirm</t>
  </si>
  <si>
    <t>Monaco, Paris Saint-Germain</t>
  </si>
  <si>
    <t>Monaco: 2015-2017; Paris Saint-Germain: 2017-2024</t>
  </si>
  <si>
    <t>Ranked for Ligue 1 impact: prime level first, then league legacy/legend status, with longevity as a supporting factor.</t>
  </si>
  <si>
    <t>Nancy, Saint-Etienne</t>
  </si>
  <si>
    <t>Nancy: 1972-1979; Saint-Etienne: 1979-1982</t>
  </si>
  <si>
    <t>Cannes, Bordeaux</t>
  </si>
  <si>
    <t>Cannes: 1989-1992; Bordeaux: 1992-1996</t>
  </si>
  <si>
    <t>Marseille, Bordeaux</t>
  </si>
  <si>
    <t>Marseille: 1986-1992; Bordeaux: 1996-1998</t>
  </si>
  <si>
    <t>Just Fontaine</t>
  </si>
  <si>
    <t>Nice, Reims</t>
  </si>
  <si>
    <t>Nice: 1953-1956; Reims: 1956-1962</t>
  </si>
  <si>
    <t>Raymond Kopa</t>
  </si>
  <si>
    <t>Angers, Reims</t>
  </si>
  <si>
    <t>Angers: 1949-1951; Reims: 1951-1956, 1959-1967</t>
  </si>
  <si>
    <t>Delio Onnis</t>
  </si>
  <si>
    <t>Reims, Monaco, Tours, Toulon</t>
  </si>
  <si>
    <t>Reims: 1971-1973; Monaco: 1973-1980; Tours: 1980-1983; Toulon: 1983-1986</t>
  </si>
  <si>
    <t>Bernard Lacombe</t>
  </si>
  <si>
    <t>Lyon, Saint-Etienne, Bordeaux</t>
  </si>
  <si>
    <t>Lyon: 1969-1978; Saint-Etienne: 1978-1979; Bordeaux: 1979-1987</t>
  </si>
  <si>
    <t>Alain Giresse</t>
  </si>
  <si>
    <t>Bordeaux, Marseille</t>
  </si>
  <si>
    <t>Bordeaux: 1970-1986; Marseille: 1986-1988</t>
  </si>
  <si>
    <t>Juninho Pernambucano</t>
  </si>
  <si>
    <t>Lyon</t>
  </si>
  <si>
    <t>Lyon: 2001-2009</t>
  </si>
  <si>
    <t>Paris Saint-Germain</t>
  </si>
  <si>
    <t>Paris Saint-Germain: 2012-2016</t>
  </si>
  <si>
    <t>Paris Saint-Germain: 2013-2020</t>
  </si>
  <si>
    <t>Monaco, Paris Saint-Germain, Marseille</t>
  </si>
  <si>
    <t>Monaco: 1988-1992; Paris Saint-Germain: 1992-1995; Marseille: 2000-2001</t>
  </si>
  <si>
    <t>Pauleta</t>
  </si>
  <si>
    <t>Bordeaux, Paris Saint-Germain</t>
  </si>
  <si>
    <t>Bordeaux: 2000-2003; Paris Saint-Germain: 2003-2008</t>
  </si>
  <si>
    <t>Carlos Bianchi</t>
  </si>
  <si>
    <t>Reims, Paris Saint-Germain, Strasbourg</t>
  </si>
  <si>
    <t>Reims: 1973-1977; Paris Saint-Germain: 1977-1979; Strasbourg: 1979-1980</t>
  </si>
  <si>
    <t>Josip Skoblar</t>
  </si>
  <si>
    <t>Marseille</t>
  </si>
  <si>
    <t>Marseille: dates to confirm</t>
  </si>
  <si>
    <t>Roger Piantoni</t>
  </si>
  <si>
    <t>Nancy, Reims, Nice</t>
  </si>
  <si>
    <t>Nancy: dates to confirm; Reims: dates to confirm; Nice: dates to confirm</t>
  </si>
  <si>
    <t>Herve Revelli</t>
  </si>
  <si>
    <t>Saint-Etienne, Nice</t>
  </si>
  <si>
    <t>Saint-Etienne: dates to confirm; Nice: dates to confirm</t>
  </si>
  <si>
    <t>Dominique Rocheteau</t>
  </si>
  <si>
    <t>Saint-Etienne, Paris Saint-Germain, Toulouse</t>
  </si>
  <si>
    <t>Saint-Etienne: dates to confirm; Paris Saint-Germain: dates to confirm; Toulouse: dates to confirm</t>
  </si>
  <si>
    <t>Didier Deschamps</t>
  </si>
  <si>
    <t>Nantes, Marseille, Bordeaux</t>
  </si>
  <si>
    <t>Nantes: 1985-1989; Marseille: 1989-1994; Bordeaux: 1990-1991</t>
  </si>
  <si>
    <t>Laurent Blanc</t>
  </si>
  <si>
    <t>Montpellier, Nimes, Saint-Etienne, Auxerre, Marseille</t>
  </si>
  <si>
    <t>Montpellier: 1983-1991; Nimes: 1992-1993; Saint-Etienne: 1993-1995; Auxerre: 1995-1996; Marseille: 1997-1999</t>
  </si>
  <si>
    <t>Lilian Thuram</t>
  </si>
  <si>
    <t>Monaco</t>
  </si>
  <si>
    <t>Monaco: dates to confirm</t>
  </si>
  <si>
    <t>Nantes, Marseille</t>
  </si>
  <si>
    <t>Nantes: dates to confirm; Marseille: dates to confirm</t>
  </si>
  <si>
    <t>Fabien Barthez</t>
  </si>
  <si>
    <t>Toulouse, Marseille, Monaco, Nantes</t>
  </si>
  <si>
    <t>Toulouse: dates to confirm; Marseille: dates to confirm; Monaco: dates to confirm; Nantes: dates to confirm</t>
  </si>
  <si>
    <t>Nice, Lyon</t>
  </si>
  <si>
    <t>Nice: dates to confirm; Lyon: dates to confirm</t>
  </si>
  <si>
    <t>Steve Mandanda</t>
  </si>
  <si>
    <t>Marseille, Rennes</t>
  </si>
  <si>
    <t>Marseille: dates to confirm; Rennes: dates to confirm</t>
  </si>
  <si>
    <t>Paris Saint-Germain: 2012-2020</t>
  </si>
  <si>
    <t>Paris Saint-Germain: 2013-present</t>
  </si>
  <si>
    <t>Paris Saint-Germain: 2017-2023</t>
  </si>
  <si>
    <t>Paris Saint-Germain: 2001-2003</t>
  </si>
  <si>
    <t>Safet Susic</t>
  </si>
  <si>
    <t>Paris Saint-Germain: dates to confirm</t>
  </si>
  <si>
    <t>Mustapha Dahleb</t>
  </si>
  <si>
    <t>Sedan, Paris Saint-Germain, Nice</t>
  </si>
  <si>
    <t>Sedan: dates to confirm; Paris Saint-Germain: dates to confirm; Nice: dates to confirm</t>
  </si>
  <si>
    <t>Rai</t>
  </si>
  <si>
    <t>Marseille, Monaco, Lyon</t>
  </si>
  <si>
    <t>Marseille: dates to confirm; Monaco: dates to confirm; Lyon: dates to confirm</t>
  </si>
  <si>
    <t>Alexandre Lacazette</t>
  </si>
  <si>
    <t>Lyon: 2010-2017, 2022-present</t>
  </si>
  <si>
    <t>Lyon: 2004-2009</t>
  </si>
  <si>
    <t>Wissam Ben Yedder</t>
  </si>
  <si>
    <t>Toulouse, Monaco</t>
  </si>
  <si>
    <t>Toulouse: dates to confirm; Monaco: dates to confirm</t>
  </si>
  <si>
    <t>David Trezeguet</t>
  </si>
  <si>
    <t>Monaco: 1995-2000</t>
  </si>
  <si>
    <t>Youri Djorkaeff</t>
  </si>
  <si>
    <t>Strasbourg, Monaco, Paris Saint-Germain</t>
  </si>
  <si>
    <t>Strasbourg: dates to confirm; Monaco: dates to confirm; Paris Saint-Germain: dates to confirm</t>
  </si>
  <si>
    <t>Djibril Cisse</t>
  </si>
  <si>
    <t>Auxerre, Marseille, Bastia</t>
  </si>
  <si>
    <t>Auxerre: dates to confirm; Marseille: dates to confirm; Bastia: dates to confirm</t>
  </si>
  <si>
    <t>Bafetimbi Gomis</t>
  </si>
  <si>
    <t>Saint-Etienne, Lyon, Marseille</t>
  </si>
  <si>
    <t>Saint-Etienne: dates to confirm; Lyon: dates to confirm; Marseille: dates to confirm</t>
  </si>
  <si>
    <t>Andre-Pierre Gignac</t>
  </si>
  <si>
    <t>Lorient, Toulouse, Marseille</t>
  </si>
  <si>
    <t>Lorient: dates to confirm; Toulouse: dates to confirm; Marseille: dates to confirm</t>
  </si>
  <si>
    <t>Nantes, Saint-Etienne, Lille, Marseille</t>
  </si>
  <si>
    <t>Nantes: 2005-2007; Saint-Etienne: 2007-2011; Lille: 2011-2013; Marseille: 2013-2015, 2017-2023</t>
  </si>
  <si>
    <t>Florian Thauvin</t>
  </si>
  <si>
    <t>Bastia, Lille, Marseille</t>
  </si>
  <si>
    <t>Bastia: dates to confirm; Lille: dates to confirm; Marseille: dates to confirm</t>
  </si>
  <si>
    <t>Franck Ribery</t>
  </si>
  <si>
    <t>Metz, Marseille</t>
  </si>
  <si>
    <t>Metz: 2004-2005; Marseille: 2005-2007</t>
  </si>
  <si>
    <t>Samir Nasri</t>
  </si>
  <si>
    <t>Lyon, Marseille, Nice, Rennes, Bordeaux, Lille</t>
  </si>
  <si>
    <t>Lyon: dates to confirm; Marseille: dates to confirm; Nice: dates to confirm; Rennes: dates to confirm; Bordeaux: dates to confirm; Lille: dates to confirm</t>
  </si>
  <si>
    <t>Ludovic Giuly</t>
  </si>
  <si>
    <t>Lyon, Monaco, Paris Saint-Germain, Lorient</t>
  </si>
  <si>
    <t>Lyon: dates to confirm; Monaco: dates to confirm; Paris Saint-Germain: dates to confirm; Lorient: dates to confirm</t>
  </si>
  <si>
    <t>LM/AM</t>
  </si>
  <si>
    <t>Metz: dates to confirm; Marseille: dates to confirm</t>
  </si>
  <si>
    <t>Sylvain Wiltord</t>
  </si>
  <si>
    <t>Rennes, Bordeaux, Lyon, Marseille, Metz</t>
  </si>
  <si>
    <t>Rennes: dates to confirm; Bordeaux: dates to confirm; Lyon: dates to confirm; Marseille: dates to confirm; Metz: dates to confirm</t>
  </si>
  <si>
    <t>Nantes, Marseille, Paris Saint-Germain, Bastia</t>
  </si>
  <si>
    <t>Nantes: dates to confirm; Marseille: dates to confirm; Paris Saint-Germain: dates to confirm; Bastia: dates to confirm</t>
  </si>
  <si>
    <t>Cannes</t>
  </si>
  <si>
    <t>Cannes: dates to confirm</t>
  </si>
  <si>
    <t>Blaise Matuidi</t>
  </si>
  <si>
    <t>Troyes, Saint-Etienne, Paris Saint-Germain</t>
  </si>
  <si>
    <t>Troyes: dates to confirm; Saint-Etienne: dates to confirm; Paris Saint-Germain: dates to confirm</t>
  </si>
  <si>
    <t>Marco Verratti</t>
  </si>
  <si>
    <t>Paris Saint-Germain: 2012-2023</t>
  </si>
  <si>
    <t>Angel Di Maria</t>
  </si>
  <si>
    <t>Paris Saint-Germain: 2015-2022</t>
  </si>
  <si>
    <t>Ousmane Dembele</t>
  </si>
  <si>
    <t>Rennes, Paris Saint-Germain</t>
  </si>
  <si>
    <t>Rennes: 2015-2016; Paris Saint-Germain: 2023-present</t>
  </si>
  <si>
    <t>Vitinha</t>
  </si>
  <si>
    <t>Bradley Barcola</t>
  </si>
  <si>
    <t>Lyon, Paris Saint-Germain</t>
  </si>
  <si>
    <t>Lyon: dates to confirm; Paris Saint-Germain: dates to confirm</t>
  </si>
  <si>
    <t>Grenoble, Istres, Tours, Montpellier</t>
  </si>
  <si>
    <t>Grenoble: dates to confirm; Istres: dates to confirm; Tours: dates to confirm; Montpellier: dates to confirm</t>
  </si>
  <si>
    <t>Lille</t>
  </si>
  <si>
    <t>Lille: 2007-2012</t>
  </si>
  <si>
    <t>Gervinho</t>
  </si>
  <si>
    <t>Le Mans, Lille</t>
  </si>
  <si>
    <t>Le Mans: dates to confirm; Lille: dates to confirm</t>
  </si>
  <si>
    <t>Dijon, Lille, Monaco, Saint-Etienne, Marseille</t>
  </si>
  <si>
    <t>Dijon: dates to confirm; Lille: dates to confirm; Monaco: dates to confirm; Saint-Etienne: dates to confirm; Marseille: dates to confirm</t>
  </si>
  <si>
    <t>Monaco: 2013-2014, 2016-2019</t>
  </si>
  <si>
    <t>James Rodriguez</t>
  </si>
  <si>
    <t>Monaco: 2014-2017</t>
  </si>
  <si>
    <t>Fabinho</t>
  </si>
  <si>
    <t>DM/RB</t>
  </si>
  <si>
    <t>Monaco: 2013-2018</t>
  </si>
  <si>
    <t>Joao Moutinho</t>
  </si>
  <si>
    <t>Le Havre</t>
  </si>
  <si>
    <t>Le Havre: dates to confirm</t>
  </si>
  <si>
    <t>Nabil Fekir</t>
  </si>
  <si>
    <t>Lyon: dates to confirm</t>
  </si>
  <si>
    <t>Memphis Depay</t>
  </si>
  <si>
    <t>Lisandro Lopez</t>
  </si>
  <si>
    <t>Mamadou Niang</t>
  </si>
  <si>
    <t>Strasbourg, Marseille</t>
  </si>
  <si>
    <t>Strasbourg: dates to confirm; Marseille: dates to confirm</t>
  </si>
  <si>
    <t>Moussa Sow</t>
  </si>
  <si>
    <t>Rennes, Lille</t>
  </si>
  <si>
    <t>Rennes: dates to confirm; Lille: dates to confirm</t>
  </si>
  <si>
    <t>Yoann Gourcuff</t>
  </si>
  <si>
    <t>Rennes, Bordeaux, Lyon, Dijon</t>
  </si>
  <si>
    <t>Rennes: dates to confirm; Bordeaux: dates to confirm; Lyon: dates to confirm; Dijon: dates to confirm</t>
  </si>
  <si>
    <t>Mickael Landreau</t>
  </si>
  <si>
    <t>Nantes, Paris Saint-Germain, Lille, Bastia</t>
  </si>
  <si>
    <t>Nantes: dates to confirm; Paris Saint-Germain: dates to confirm; Lille: dates to confirm; Bastia: dates to confirm</t>
  </si>
  <si>
    <t>Gregory Coupet</t>
  </si>
  <si>
    <t>Saint-Etienne, Lyon, Paris Saint-Germain</t>
  </si>
  <si>
    <t>Saint-Etienne: dates to confirm; Lyon: dates to confirm; Paris Saint-Germain: dates to confirm</t>
  </si>
  <si>
    <t>Joel Bats</t>
  </si>
  <si>
    <t>Sochaux, Auxerre, Paris Saint-Germain</t>
  </si>
  <si>
    <t>Sochaux: dates to confirm; Auxerre: dates to confirm; Paris Saint-Germain: dates to confirm</t>
  </si>
  <si>
    <t>Bernard Lama</t>
  </si>
  <si>
    <t>Lille, Metz, Brest, Lens, Paris Saint-Germain, Rennes</t>
  </si>
  <si>
    <t>Lille: dates to confirm; Metz: dates to confirm; Brest: dates to confirm; Lens: dates to confirm; Paris Saint-Germain: dates to confirm; Rennes: dates to confirm</t>
  </si>
  <si>
    <t>Jean Tigana</t>
  </si>
  <si>
    <t>Toulon, Lyon, Bordeaux, Marseille</t>
  </si>
  <si>
    <t>Toulon: dates to confirm; Lyon: dates to confirm; Bordeaux: dates to confirm; Marseille: dates to confirm</t>
  </si>
  <si>
    <t>Marius Tresor</t>
  </si>
  <si>
    <t>Ajaccio, Marseille, Bordeaux</t>
  </si>
  <si>
    <t>Ajaccio: dates to confirm; Marseille: dates to confirm; Bordeaux: dates to confirm</t>
  </si>
  <si>
    <t>Maxime Bossis</t>
  </si>
  <si>
    <t>Nantes, Matra Racing</t>
  </si>
  <si>
    <t>Nantes: dates to confirm; Matra Racing: dates to confirm</t>
  </si>
  <si>
    <t>Dominique Bathenay</t>
  </si>
  <si>
    <t>Saint-Etienne, Paris Saint-Germain, Sete</t>
  </si>
  <si>
    <t>Saint-Etienne: dates to confirm; Paris Saint-Germain: dates to confirm; Sete: dates to confirm</t>
  </si>
  <si>
    <t>Luis Fernandez</t>
  </si>
  <si>
    <t>Paris Saint-Germain, Matra Racing, Cannes</t>
  </si>
  <si>
    <t>Paris Saint-Germain: dates to confirm; Matra Racing: dates to confirm; Cannes: dates to confirm</t>
  </si>
  <si>
    <t>Jean-Marc Guillou</t>
  </si>
  <si>
    <t>Angers, Nice, Neuchatel Xamax</t>
  </si>
  <si>
    <t>Angers: dates to confirm; Nice: dates to confirm; Neuchatel Xamax: dates to confirm</t>
  </si>
  <si>
    <t>Jean-Michel Larque</t>
  </si>
  <si>
    <t>Saint-Etienne, Paris Saint-Germain</t>
  </si>
  <si>
    <t>Saint-Etienne: dates to confirm; Paris Saint-Germain: dates to confirm</t>
  </si>
  <si>
    <t>Robert Herbin</t>
  </si>
  <si>
    <t>Saint-Etienne</t>
  </si>
  <si>
    <t>Saint-Etienne: dates to confirm</t>
  </si>
  <si>
    <t>Salif Keita</t>
  </si>
  <si>
    <t>Saint-Etienne, Marseille</t>
  </si>
  <si>
    <t>Saint-Etienne: dates to confirm; Marseille: dates to confirm</t>
  </si>
  <si>
    <t>Rachid Mekhloufi</t>
  </si>
  <si>
    <t>Saint-Etienne, Bastia</t>
  </si>
  <si>
    <t>Saint-Etienne: dates to confirm; Bastia: dates to confirm</t>
  </si>
  <si>
    <t>Fleury Di Nallo</t>
  </si>
  <si>
    <t>Lyon, Red Star</t>
  </si>
  <si>
    <t>Lyon: dates to confirm; Red Star: dates to confirm</t>
  </si>
  <si>
    <t>Roger Courtois</t>
  </si>
  <si>
    <t>Sochaux, Troyes</t>
  </si>
  <si>
    <t>Sochaux: dates to confirm; Troyes: dates to confirm</t>
  </si>
  <si>
    <t>Thadee Cisowski</t>
  </si>
  <si>
    <t>Metz, Racing Paris, Valenciennes</t>
  </si>
  <si>
    <t>Metz: dates to confirm; Racing Paris: dates to confirm; Valenciennes: dates to confirm</t>
  </si>
  <si>
    <t>Joseph Ujlaki</t>
  </si>
  <si>
    <t>Stade Francais, Sete, Nimes, Nice, Racing Paris</t>
  </si>
  <si>
    <t>Stade Francais: dates to confirm; Sete: dates to confirm; Nimes: dates to confirm; Nice: dates to confirm; Racing Paris: dates to confirm</t>
  </si>
  <si>
    <t>Gunnar Andersson</t>
  </si>
  <si>
    <t>Marseille: dates to confirm; Bordeaux: dates to confirm</t>
  </si>
  <si>
    <t>Hassan Akesbi</t>
  </si>
  <si>
    <t>Nimes, Reims, Monaco</t>
  </si>
  <si>
    <t>Nimes: dates to confirm; Reims: dates to confirm; Monaco: dates to confirm</t>
  </si>
  <si>
    <t>Jean Baratte</t>
  </si>
  <si>
    <t>Lille, Roubaix</t>
  </si>
  <si>
    <t>Lille: dates to confirm; Roubaix: dates to confirm</t>
  </si>
  <si>
    <t>Andre Guy</t>
  </si>
  <si>
    <t>Sochaux, Saint-Etienne, Lille, Lyon, Rennes</t>
  </si>
  <si>
    <t>Sochaux: dates to confirm; Saint-Etienne: dates to confirm; Lille: dates to confirm; Lyon: dates to confirm; Rennes: dates to confirm</t>
  </si>
  <si>
    <t>Jacky Vergnes</t>
  </si>
  <si>
    <t>Red Star, Nimes, Bastia, Reims, Laval, Strasbourg, Bordeaux, Montpellier</t>
  </si>
  <si>
    <t>Red Star: dates to confirm; Nimes: dates to confirm; Bastia: dates to confirm; Reims: dates to confirm; Laval: dates to confirm; Strasbourg: dates to confirm; Bordeaux: dates to confirm; Montpellier: dates to confirm</t>
  </si>
  <si>
    <t>Lucien Cossou</t>
  </si>
  <si>
    <t>Lyon, Monaco, Aix</t>
  </si>
  <si>
    <t>Lyon: dates to confirm; Monaco: dates to confirm; Aix: dates to confirm</t>
  </si>
  <si>
    <t>Stephane Bruey</t>
  </si>
  <si>
    <t>Monaco, Angers, Racing Paris, Rouen, Grenoble</t>
  </si>
  <si>
    <t>Monaco: dates to confirm; Angers: dates to confirm; Racing Paris: dates to confirm; Rouen: dates to confirm; Grenoble: dates to confirm</t>
  </si>
  <si>
    <t>Michel Hidalgo</t>
  </si>
  <si>
    <t>Le Havre, Reims, Monaco</t>
  </si>
  <si>
    <t>Le Havre: dates to confirm; Reims: dates to confirm; Monaco: dates to confirm</t>
  </si>
  <si>
    <t>Dragan Dzajic</t>
  </si>
  <si>
    <t>Bastia</t>
  </si>
  <si>
    <t>Bastia: dates to confirm</t>
  </si>
  <si>
    <t>Vahid Halilhodzic</t>
  </si>
  <si>
    <t>Nantes, Paris Saint-Germain</t>
  </si>
  <si>
    <t>Nantes: dates to confirm; Paris Saint-Germain: dates to confirm</t>
  </si>
  <si>
    <t>Francois M'Pele</t>
  </si>
  <si>
    <t>Ajaccio, Paris Saint-Germain, Lens, Rennes</t>
  </si>
  <si>
    <t>Ajaccio: dates to confirm; Paris Saint-Germain: dates to confirm; Lens: dates to confirm; Rennes: dates to confirm</t>
  </si>
  <si>
    <t>Gerard Soler</t>
  </si>
  <si>
    <t>Sochaux, Monaco, Bordeaux, Toulouse, Strasbourg, Nice, Lille, Montpellier</t>
  </si>
  <si>
    <t>Sochaux: dates to confirm; Monaco: dates to confirm; Bordeaux: dates to confirm; Toulouse: dates to confirm; Strasbourg: dates to confirm; Nice: dates to confirm; Lille: dates to confirm; Montpellier: dates to confirm</t>
  </si>
  <si>
    <t>Lilian Laslandes</t>
  </si>
  <si>
    <t>Auxerre, Bordeaux, Nice, Saint-Etienne, Bastia, Strasbourg</t>
  </si>
  <si>
    <t>Auxerre: dates to confirm; Bordeaux: dates to confirm; Nice: dates to confirm; Saint-Etienne: dates to confirm; Bastia: dates to confirm; Strasbourg: dates to confirm</t>
  </si>
  <si>
    <t>Bernard Genghini</t>
  </si>
  <si>
    <t>Sochaux, Saint-Etienne, Monaco, Marseille, Bordeaux</t>
  </si>
  <si>
    <t>Sochaux: dates to confirm; Saint-Etienne: dates to confirm; Monaco: dates to confirm; Marseille: dates to confirm; Bordeaux: dates to confirm</t>
  </si>
  <si>
    <t>Eric Pecout</t>
  </si>
  <si>
    <t>Nantes, Monaco, Strasbourg, Caen, Tours</t>
  </si>
  <si>
    <t>Nantes: dates to confirm; Monaco: dates to confirm; Strasbourg: dates to confirm; Caen: dates to confirm; Tours: dates to confirm</t>
  </si>
  <si>
    <t>Claude Papi</t>
  </si>
  <si>
    <t>Daniel Xuereb</t>
  </si>
  <si>
    <t>Lens, Paris Saint-Germain, Montpellier, Marseille, Toulon</t>
  </si>
  <si>
    <t>Lens: dates to confirm; Paris Saint-Germain: dates to confirm; Montpellier: dates to confirm; Marseille: dates to confirm; Toulon: dates to confirm</t>
  </si>
  <si>
    <t>Alain Caveglia</t>
  </si>
  <si>
    <t>Sochaux, Le Havre, Lyon, Nantes</t>
  </si>
  <si>
    <t>Sochaux: dates to confirm; Le Havre: dates to confirm; Lyon: dates to confirm; Nantes: dates to confirm</t>
  </si>
  <si>
    <t>Marc Berdoll</t>
  </si>
  <si>
    <t>Angers, Marseille, Saarbrucken</t>
  </si>
  <si>
    <t>Angers: dates to confirm; Marseille: dates to confirm; Saarbrucken: dates to confirm</t>
  </si>
  <si>
    <t>Kevin Gameiro</t>
  </si>
  <si>
    <t>Strasbourg, Lorient, Paris Saint-Germain</t>
  </si>
  <si>
    <t>Strasbourg: dates to confirm; Lorient: dates to confirm; Paris Saint-Germain: dates to confirm</t>
  </si>
  <si>
    <t>Philippe Gondet</t>
  </si>
  <si>
    <t>Nantes, Red Star</t>
  </si>
  <si>
    <t>Nantes: dates to confirm; Red Star: dates to confirm</t>
  </si>
  <si>
    <t>Patrice Loko</t>
  </si>
  <si>
    <t>Nantes, Paris Saint-Germain, Lyon, Troyes, Lorient, Ajaccio</t>
  </si>
  <si>
    <t>Nantes: dates to confirm; Paris Saint-Germain: dates to confirm; Lyon: dates to confirm; Troyes: dates to confirm; Lorient: dates to confirm; Ajaccio: dates to confirm</t>
  </si>
  <si>
    <t>Shabani Nonda</t>
  </si>
  <si>
    <t>Rennes, Monaco</t>
  </si>
  <si>
    <t>Rennes: dates to confirm; Monaco: dates to confirm</t>
  </si>
  <si>
    <t>Nenad Bjekovic</t>
  </si>
  <si>
    <t>Nice</t>
  </si>
  <si>
    <t>Nice: dates to confirm</t>
  </si>
  <si>
    <t>Jean-Pierre Adams</t>
  </si>
  <si>
    <t>Nimes, Nice, Paris Saint-Germain</t>
  </si>
  <si>
    <t>Nimes: dates to confirm; Nice: dates to confirm; Paris Saint-Germain: dates to confirm</t>
  </si>
  <si>
    <t>Carlos Mozer</t>
  </si>
  <si>
    <t>Basile Boli</t>
  </si>
  <si>
    <t>Auxerre, Marseille, Monaco</t>
  </si>
  <si>
    <t>Auxerre: dates to confirm; Marseille: dates to confirm; Monaco: dates to confirm</t>
  </si>
  <si>
    <t>Chris Waddle</t>
  </si>
  <si>
    <t>Abedi Pele</t>
  </si>
  <si>
    <t>Lille, Marseille, Lyon</t>
  </si>
  <si>
    <t>Lille: dates to confirm; Marseille: dates to confirm; Lyon: dates to confirm</t>
  </si>
  <si>
    <t>Le Mans, Guingamp, Marseille</t>
  </si>
  <si>
    <t>Le Mans: dates to confirm; Guingamp: dates to confirm; Marseille: dates to confirm</t>
  </si>
  <si>
    <t>Mathieu Valbuena</t>
  </si>
  <si>
    <t>Marseille, Lyon</t>
  </si>
  <si>
    <t>Marseille: dates to confirm; Lyon: dates to confirm</t>
  </si>
  <si>
    <t>Florian Maurice</t>
  </si>
  <si>
    <t>Lyon, Paris Saint-Germain, Marseille, Bastia</t>
  </si>
  <si>
    <t>Lyon: dates to confirm; Paris Saint-Germain: dates to confirm; Marseille: dates to confirm; Bastia: dates to confirm</t>
  </si>
  <si>
    <t>Bastia, Lyon</t>
  </si>
  <si>
    <t>Bastia: dates to confirm; Lyon: dates to confirm</t>
  </si>
  <si>
    <t>Mahamadou Diarra</t>
  </si>
  <si>
    <t>Lyon, Monaco</t>
  </si>
  <si>
    <t>Lyon: dates to confirm; Monaco: dates to confirm</t>
  </si>
  <si>
    <t>Cris</t>
  </si>
  <si>
    <t>Eric Abidal</t>
  </si>
  <si>
    <t>Monaco, Lille, Lyon</t>
  </si>
  <si>
    <t>Monaco: dates to confirm; Lille: dates to confirm; Lyon: dates to confirm</t>
  </si>
  <si>
    <t>Florent Malouda</t>
  </si>
  <si>
    <t>LM/LW</t>
  </si>
  <si>
    <t>Guingamp, Lyon, Metz</t>
  </si>
  <si>
    <t>Guingamp: dates to confirm; Lyon: dates to confirm; Metz: dates to confirm</t>
  </si>
  <si>
    <t>Sidney Govou</t>
  </si>
  <si>
    <t>Lyon, Evian</t>
  </si>
  <si>
    <t>Lyon: dates to confirm; Evian: dates to confirm</t>
  </si>
  <si>
    <t>Kim Kallstrom</t>
  </si>
  <si>
    <t>Rennes, Lyon</t>
  </si>
  <si>
    <t>Rennes: dates to confirm; Lyon: dates to confirm</t>
  </si>
  <si>
    <t>Marco Simone</t>
  </si>
  <si>
    <t>Paris Saint-Germain, Monaco, Nice</t>
  </si>
  <si>
    <t>Paris Saint-Germain: dates to confirm; Monaco: dates to confirm; Nice: dates to confirm</t>
  </si>
  <si>
    <t>Nice, Monaco, Marseille</t>
  </si>
  <si>
    <t>Nice: dates to confirm; Monaco: dates to confirm; Marseille: dates to confirm</t>
  </si>
  <si>
    <t>Claude Puel</t>
  </si>
  <si>
    <t>Jules Kounde</t>
  </si>
  <si>
    <t>Bordeaux</t>
  </si>
  <si>
    <t>Bordeaux: dates to confirm</t>
  </si>
  <si>
    <t>Aurelien Tchouameni</t>
  </si>
  <si>
    <t>Bordeaux, Monaco</t>
  </si>
  <si>
    <t>Bordeaux: dates to confirm; Monaco: dates to confirm</t>
  </si>
  <si>
    <t>Eduardo Camavinga</t>
  </si>
  <si>
    <t>Rennes</t>
  </si>
  <si>
    <t>Rennes: dates to confirm</t>
  </si>
  <si>
    <t>William Saliba</t>
  </si>
  <si>
    <t>Saint-Etienne, Nice, Marseille</t>
  </si>
  <si>
    <t>Saint-Etienne: dates to confirm; Nice: dates to confirm; Marseille: dates to confirm</t>
  </si>
  <si>
    <t>Benjamin Pavard</t>
  </si>
  <si>
    <t>Lille: dates to confirm</t>
  </si>
  <si>
    <t>Dayot Upamecano</t>
  </si>
  <si>
    <t>Valenciennes</t>
  </si>
  <si>
    <t>Valenciennes: dates to confirm</t>
  </si>
  <si>
    <t>Jonathan David</t>
  </si>
  <si>
    <t>Renato Sanches</t>
  </si>
  <si>
    <t>Lille, Paris Saint-Germain</t>
  </si>
  <si>
    <t>Lille: dates to confirm; Paris Saint-Germain: dates to confirm</t>
  </si>
  <si>
    <t>Wahbi Khazri</t>
  </si>
  <si>
    <t>Bastia, Bordeaux, Rennes, Saint-Etienne, Montpellier</t>
  </si>
  <si>
    <t>Bastia: dates to confirm; Bordeaux: dates to confirm; Rennes: dates to confirm; Saint-Etienne: dates to confirm; Montpellier: dates to confirm</t>
  </si>
  <si>
    <t>Ryad Boudebouz</t>
  </si>
  <si>
    <t>Sochaux, Bastia, Montpellier, Saint-Etienne</t>
  </si>
  <si>
    <t>Sochaux: dates to confirm; Bastia: dates to confirm; Montpellier: dates to confirm; Saint-Etienne: dates to confirm</t>
  </si>
  <si>
    <t>Andy Delort</t>
  </si>
  <si>
    <t>Ajaccio, Caen, Toulouse, Montpellier, Nice, Nantes</t>
  </si>
  <si>
    <t>Ajaccio: dates to confirm; Caen: dates to confirm; Toulouse: dates to confirm; Montpellier: dates to confirm; Nice: dates to confirm; Nantes: dates to confirm</t>
  </si>
  <si>
    <t>Gaetan Laborde</t>
  </si>
  <si>
    <t>Bordeaux, Montpellier, Rennes, Nice</t>
  </si>
  <si>
    <t>Bordeaux: dates to confirm; Montpellier: dates to confirm; Rennes: dates to confirm; Nice: dates to confirm</t>
  </si>
  <si>
    <t>Benjamin Andre</t>
  </si>
  <si>
    <t>Ajaccio, Rennes, Lille</t>
  </si>
  <si>
    <t>Ajaccio: dates to confirm; Rennes: dates to confirm; Lille: dates to confirm</t>
  </si>
  <si>
    <t>Seko Fofana</t>
  </si>
  <si>
    <t>Bastia, Lens, Rennes</t>
  </si>
  <si>
    <t>Bastia: dates to confirm; Lens: dates to confirm; Rennes: dates to confirm</t>
  </si>
  <si>
    <t>Lois Openda</t>
  </si>
  <si>
    <t>Lens</t>
  </si>
  <si>
    <t>Lens: dates to confirm</t>
  </si>
  <si>
    <t>Kevin Danso</t>
  </si>
  <si>
    <t>Brice Samba</t>
  </si>
  <si>
    <t>Marseille, Caen, Lens, Rennes</t>
  </si>
  <si>
    <t>Marseille: dates to confirm; Caen: dates to confirm; Lens: dates to confirm; Rennes: dates to confirm</t>
  </si>
  <si>
    <t>Elye Wahi</t>
  </si>
  <si>
    <t>Montpellier, Lens, Marseille</t>
  </si>
  <si>
    <t>Montpellier: dates to confirm; Lens: dates to confirm; Marseille: dates to confirm</t>
  </si>
  <si>
    <t>Remy Cabella</t>
  </si>
  <si>
    <t>Montpellier, Marseille, Saint-Etienne, Lille</t>
  </si>
  <si>
    <t>Montpellier: dates to confirm; Marseille: dates to confirm; Saint-Etienne: dates to confirm; Lille: dates to confirm</t>
  </si>
  <si>
    <t>Lille, Paris Saint-Germain, Saint-Etienne</t>
  </si>
  <si>
    <t>Lille: dates to confirm; Paris Saint-Germain: dates to confirm; Saint-Etienne: dates to confirm</t>
  </si>
  <si>
    <t>Mathieu Bodmer</t>
  </si>
  <si>
    <t>Caen, Lille, Lyon, Paris Saint-Germain, Nice, Guingamp, Amiens</t>
  </si>
  <si>
    <t>Caen: dates to confirm; Lille: dates to confirm; Lyon: dates to confirm; Paris Saint-Germain: dates to confirm; Nice: dates to confirm; Guingamp: dates to confirm; Amiens: dates to confirm</t>
  </si>
  <si>
    <t>Rio Mavuba</t>
  </si>
  <si>
    <t>Bordeaux, Lille</t>
  </si>
  <si>
    <t>Bordeaux: dates to confirm; Lille: dates to confirm</t>
  </si>
  <si>
    <t>Adil Rami</t>
  </si>
  <si>
    <t>Lille, Marseille, Troyes</t>
  </si>
  <si>
    <t>Lille: dates to confirm; Marseille: dates to confirm; Troyes: dates to confirm</t>
  </si>
  <si>
    <t>Mapou Yanga-Mbiwa</t>
  </si>
  <si>
    <t>Montpellier, Lyon</t>
  </si>
  <si>
    <t>Montpellier: dates to confirm; Lyon: dates to confirm</t>
  </si>
  <si>
    <t>Mamadou Sakho</t>
  </si>
  <si>
    <t>Paris Saint-Germain, Montpellier</t>
  </si>
  <si>
    <t>Paris Saint-Germain: dates to confirm; Montpellier: dates to confirm</t>
  </si>
  <si>
    <t>Andre Ayew</t>
  </si>
  <si>
    <t>Marseille, Lorient, Le Havre</t>
  </si>
  <si>
    <t>Marseille: dates to confirm; Lorient: dates to confirm; Le Havre: dates to confirm</t>
  </si>
  <si>
    <t>Loic Remy</t>
  </si>
  <si>
    <t>Lens, Nice, Marseille, Lille, Brest</t>
  </si>
  <si>
    <t>Lens: dates to confirm; Nice: dates to confirm; Marseille: dates to confirm; Lille: dates to confirm; Brest: dates to confirm</t>
  </si>
  <si>
    <t>Marouane Chamakh</t>
  </si>
  <si>
    <t>Fernando Cavenaghi</t>
  </si>
  <si>
    <t>Johan Micoud</t>
  </si>
  <si>
    <t>Cannes: dates to confirm; Bordeaux: dates to confirm</t>
  </si>
  <si>
    <t>Thiago Motta</t>
  </si>
  <si>
    <t>Zoumana Camara</t>
  </si>
  <si>
    <t>Saint-Etienne, Lens, Marseille, Paris Saint-Germain</t>
  </si>
  <si>
    <t>Saint-Etienne: dates to confirm; Lens: dates to confirm; Marseille: dates to confirm; Paris Saint-Germain: dates to confirm</t>
  </si>
  <si>
    <t>Javier Pastore</t>
  </si>
  <si>
    <t>Lucas Moura</t>
  </si>
  <si>
    <t>Achraf Hakimi</t>
  </si>
  <si>
    <t>Nuno Mendes</t>
  </si>
  <si>
    <t>Presnel Kimpembe</t>
  </si>
  <si>
    <t>Nicolas Pepe</t>
  </si>
  <si>
    <t>Angers, Lille, Nice</t>
  </si>
  <si>
    <t>Angers: dates to confirm; Lille: dates to confirm; Nice: dates to confirm</t>
  </si>
  <si>
    <t>Victor Ikpeba</t>
  </si>
  <si>
    <t>Ludovic Obraniak</t>
  </si>
  <si>
    <t>Metz, Lille, Bordeaux</t>
  </si>
  <si>
    <t>Metz: dates to confirm; Lille: dates to confirm; Bordeaux: dates to confirm</t>
  </si>
  <si>
    <t>Jerome Rothen</t>
  </si>
  <si>
    <t>Caen, Troyes, Monaco, Paris Saint-Germain, Bastia</t>
  </si>
  <si>
    <t>Caen: dates to confirm; Troyes: dates to confirm; Monaco: dates to confirm; Paris Saint-Germain: dates to confirm; Bastia: dates to confirm</t>
  </si>
  <si>
    <t>Eric Carriere</t>
  </si>
  <si>
    <t>Nantes, Lyon, Lens, Dijon</t>
  </si>
  <si>
    <t>Nantes: dates to confirm; Lyon: dates to confirm; Lens: dates to confirm; Dijon: dates to confirm</t>
  </si>
  <si>
    <t>Alou Diarra</t>
  </si>
  <si>
    <t>Lens, Lyon, Bordeaux, Marseille, Rennes</t>
  </si>
  <si>
    <t>Lens: dates to confirm; Lyon: dates to confirm; Bordeaux: dates to confirm; Marseille: dates to confirm; Rennes: dates to confirm</t>
  </si>
  <si>
    <t>Jeremie Toulalan</t>
  </si>
  <si>
    <t>Nantes, Lyon, Monaco, Bordeaux</t>
  </si>
  <si>
    <t>Nantes: dates to confirm; Lyon: dates to confirm; Monaco: dates to confirm; Bordeaux: dates to confirm</t>
  </si>
  <si>
    <t>Taye Taiwo</t>
  </si>
  <si>
    <t>Benoit Cheyrou</t>
  </si>
  <si>
    <t>Lille, Auxerre, Marseille</t>
  </si>
  <si>
    <t>Lille: dates to confirm; Auxerre: dates to confirm; Marseille: dates to confirm</t>
  </si>
  <si>
    <t>Jean Fernandez</t>
  </si>
  <si>
    <t>Beziers, Marseille, Bordeaux</t>
  </si>
  <si>
    <t>Beziers: dates to confirm; Marseille: dates to confirm; Bordeaux: dates to confirm</t>
  </si>
  <si>
    <t>Loic Perrin</t>
  </si>
  <si>
    <t>Brandao</t>
  </si>
  <si>
    <t>Marseille, Saint-Etienne, Bastia</t>
  </si>
  <si>
    <t>Marseille: dates to confirm; Saint-Etienne: dates to confirm; Bastia: dates to confirm</t>
  </si>
  <si>
    <t>Benoit Pedretti</t>
  </si>
  <si>
    <t>Sochaux, Marseille, Lyon, Auxerre, Lille, Ajaccio, Nancy</t>
  </si>
  <si>
    <t>Sochaux: dates to confirm; Marseille: dates to confirm; Lyon: dates to confirm; Auxerre: dates to confirm; Lille: dates to confirm; Ajaccio: dates to confirm; Nancy: dates to confirm</t>
  </si>
  <si>
    <t>Etienne Capoue</t>
  </si>
  <si>
    <t>Toulouse</t>
  </si>
  <si>
    <t>Toulouse: dates to confirm</t>
  </si>
  <si>
    <t>Wendel</t>
  </si>
  <si>
    <t>Nene</t>
  </si>
  <si>
    <t>Monaco: dates to confirm; Paris Saint-Germain: dates to confirm</t>
  </si>
  <si>
    <t>Guillaume Hoarau</t>
  </si>
  <si>
    <t>Le Havre, Paris Saint-Germain, Bordeaux</t>
  </si>
  <si>
    <t>Le Havre: dates to confirm; Paris Saint-Germain: dates to confirm; Bordeaux: dates to confirm</t>
  </si>
  <si>
    <t>Peguy Luyindula</t>
  </si>
  <si>
    <t>Strasbourg, Lyon, Marseille, Auxerre, Paris Saint-Germain</t>
  </si>
  <si>
    <t>Strasbourg: dates to confirm; Lyon: dates to confirm; Marseille: dates to confirm; Auxerre: dates to confirm; Paris Saint-Germain: dates to confirm</t>
  </si>
  <si>
    <t>Lucho Gonzalez</t>
  </si>
  <si>
    <t>Pape Diouf</t>
  </si>
  <si>
    <t>Antoine Kombouare</t>
  </si>
  <si>
    <t>Christian Karembeu</t>
  </si>
  <si>
    <t>Nantes</t>
  </si>
  <si>
    <t>Nantes: dates to confirm</t>
  </si>
  <si>
    <t>Mickael Pagis</t>
  </si>
  <si>
    <t>Laval, Strasbourg, Marseille, Rennes</t>
  </si>
  <si>
    <t>Laval: dates to confirm; Strasbourg: dates to confirm; Marseille: dates to confirm; Rennes: dates to confirm</t>
  </si>
  <si>
    <t>Bayern Munich</t>
  </si>
  <si>
    <t>Bayern Munich: 1964-1979</t>
  </si>
  <si>
    <t>Ranked for Bundesliga impact: prime level first, then league legacy/legend status, with longevity as a supporting factor.</t>
  </si>
  <si>
    <t>Review recommended</t>
  </si>
  <si>
    <t>Franz Beckenbauer</t>
  </si>
  <si>
    <t>CB/SW</t>
  </si>
  <si>
    <t>Bayern Munich, Hamburg</t>
  </si>
  <si>
    <t>Bayern Munich: 1964-1977; Hamburg: 1980-1982</t>
  </si>
  <si>
    <t>Borussia Dortmund, Bayern Munich</t>
  </si>
  <si>
    <t>Borussia Dortmund: 2010-2014; Bayern Munich: 2014-2022</t>
  </si>
  <si>
    <t>Borussia Monchengladbach, Bayern Munich</t>
  </si>
  <si>
    <t>Borussia Monchengladbach: 1979-1984; Bayern Munich: 1984-1988, 1992-2000</t>
  </si>
  <si>
    <t>Manuel Neuer</t>
  </si>
  <si>
    <t>Schalke 04, Bayern Munich</t>
  </si>
  <si>
    <t>Schalke 04: 2006-2011; Bayern Munich: 2011-present</t>
  </si>
  <si>
    <t>Bayern Munich: 1974-1984</t>
  </si>
  <si>
    <t>Philipp Lahm</t>
  </si>
  <si>
    <t>Bayern Munich, Stuttgart</t>
  </si>
  <si>
    <t>Bayern Munich: 2002-2003, 2005-2017; Stuttgart: 2003-2005</t>
  </si>
  <si>
    <t>Oliver Kahn</t>
  </si>
  <si>
    <t>Karlsruher SC, Bayern Munich</t>
  </si>
  <si>
    <t>Karlsruher SC: 1987-1994; Bayern Munich: 1994-2008</t>
  </si>
  <si>
    <t>Uwe Seeler</t>
  </si>
  <si>
    <t>Hamburg</t>
  </si>
  <si>
    <t>Hamburg: 1953-1972</t>
  </si>
  <si>
    <t>Matthias Sammer</t>
  </si>
  <si>
    <t>VfB Stuttgart, Borussia Dortmund</t>
  </si>
  <si>
    <t>VfB Stuttgart: 1990-1992; Borussia Dortmund: 1993-1998</t>
  </si>
  <si>
    <t>Thomas Muller</t>
  </si>
  <si>
    <t>Bayern Munich: 2008-2025</t>
  </si>
  <si>
    <t>Bastian Schweinsteiger</t>
  </si>
  <si>
    <t>Bayern Munich: 2002-2015</t>
  </si>
  <si>
    <t>Jupp Heynckes</t>
  </si>
  <si>
    <t>Borussia Monchengladbach, Hannover 96</t>
  </si>
  <si>
    <t>Borussia Monchengladbach: 1963-1967, 1970-1978; Hannover 96: 1967-1970</t>
  </si>
  <si>
    <t>Klaus Fischer</t>
  </si>
  <si>
    <t>1860 Munich, Schalke 04, Koln, Bochum</t>
  </si>
  <si>
    <t>1860 Munich: 1968-1970; Schalke 04: 1970-1981; Koln: 1981-1984; Bochum: 1984-1988</t>
  </si>
  <si>
    <t>Sepp Maier</t>
  </si>
  <si>
    <t>Bayern Munich: 1962-1979</t>
  </si>
  <si>
    <t>Jurgen Klinsmann</t>
  </si>
  <si>
    <t>VfB Stuttgart, Bayern Munich</t>
  </si>
  <si>
    <t>VfB Stuttgart: 1984-1989; Bayern Munich: 1995-1997</t>
  </si>
  <si>
    <t>Bayern Munich: 2009-2019</t>
  </si>
  <si>
    <t>Bayern Munich: 2007-2019</t>
  </si>
  <si>
    <t>Kevin Keegan</t>
  </si>
  <si>
    <t>Hamburg: 1977-1980</t>
  </si>
  <si>
    <t>Kaiserslautern, Werder Bremen, Bayern Munich</t>
  </si>
  <si>
    <t>Kaiserslautern: 1999-2004; Werder Bremen: 2004-2007; Bayern Munich: 2007-2011</t>
  </si>
  <si>
    <t>Bayern Munich, Bayer Leverkusen</t>
  </si>
  <si>
    <t>Bayern Munich: 2007-2009, 2010-2014; Bayer Leverkusen: 2009-2010</t>
  </si>
  <si>
    <t>Paul Breitner</t>
  </si>
  <si>
    <t>LB/CM</t>
  </si>
  <si>
    <t>Bayern Munich, Eintracht Braunschweig</t>
  </si>
  <si>
    <t>Bayern Munich: 1970-1974, 1978-1983; Eintracht Braunschweig: 1977-1978</t>
  </si>
  <si>
    <t>Kaiserslautern, Bayer Leverkusen, Bayern Munich</t>
  </si>
  <si>
    <t>Kaiserslautern: 1997-1999; Bayer Leverkusen: 1999-2002, 2010-2012; Bayern Munich: 2002-2006</t>
  </si>
  <si>
    <t>Andreas Moller</t>
  </si>
  <si>
    <t>Eintracht Frankfurt, Borussia Dortmund, Schalke 04</t>
  </si>
  <si>
    <t>Eintracht Frankfurt: 1985-1987, 1990-1992, 2003-2004; Borussia Dortmund: 1988-1990, 1994-2000; Schalke 04: 2000-2003</t>
  </si>
  <si>
    <t>Werder Bremen</t>
  </si>
  <si>
    <t>Werder Bremen: 1982-1987</t>
  </si>
  <si>
    <t>Borussia Dortmund</t>
  </si>
  <si>
    <t>Borussia Dortmund: 2013-2018</t>
  </si>
  <si>
    <t>Marco Reus</t>
  </si>
  <si>
    <t>Borussia Monchengladbach, Borussia Dortmund</t>
  </si>
  <si>
    <t>Borussia Monchengladbach: 2009-2012; Borussia Dortmund: 2012-2024</t>
  </si>
  <si>
    <t>Borussia Monchengladbach</t>
  </si>
  <si>
    <t>Borussia Monchengladbach: 1963-1973</t>
  </si>
  <si>
    <t>Wolfgang Overath</t>
  </si>
  <si>
    <t>Koln</t>
  </si>
  <si>
    <t>Koln: 1962-1977</t>
  </si>
  <si>
    <t>Dieter Muller</t>
  </si>
  <si>
    <t>Koln, VfB Stuttgart, Saarbrucken</t>
  </si>
  <si>
    <t>Koln: 1973-1981; VfB Stuttgart: 1981-1982; Saarbrucken: 1985-1986</t>
  </si>
  <si>
    <t>Claudio Pizarro</t>
  </si>
  <si>
    <t>Werder Bremen, Bayern Munich, Koln</t>
  </si>
  <si>
    <t>Werder Bremen: 1999-2001, 2008-2012, 2015-2017, 2018-2020; Bayern Munich: 2001-2007, 2012-2015; Koln: 2017-2018</t>
  </si>
  <si>
    <t>Giovane Elber</t>
  </si>
  <si>
    <t>VfB Stuttgart, Bayern Munich, Borussia Monchengladbach</t>
  </si>
  <si>
    <t>VfB Stuttgart: 1994-1997; Bayern Munich: 1997-2003; Borussia Monchengladbach: 2005-2006</t>
  </si>
  <si>
    <t>Mario Gomez</t>
  </si>
  <si>
    <t>VfB Stuttgart, Bayern Munich, Wolfsburg</t>
  </si>
  <si>
    <t>VfB Stuttgart: 2003-2009, 2017-2020; Bayern Munich: 2009-2013; Wolfsburg: 2016-2017</t>
  </si>
  <si>
    <t>Ulf Kirsten</t>
  </si>
  <si>
    <t>Bayer Leverkusen</t>
  </si>
  <si>
    <t>Bayer Leverkusen: 1990-2003</t>
  </si>
  <si>
    <t>Stefan Kuntz</t>
  </si>
  <si>
    <t>Bochum, Uerdingen, Kaiserslautern, Arminia Bielefeld</t>
  </si>
  <si>
    <t>Bochum: 1983-1986; Uerdingen: 1986-1989; Kaiserslautern: 1989-1995; Arminia Bielefeld: 1996-1999</t>
  </si>
  <si>
    <t>Klaus Allofs</t>
  </si>
  <si>
    <t>Fortuna Dusseldorf, Koln, Werder Bremen</t>
  </si>
  <si>
    <t>Fortuna Dusseldorf: 1975-1981; Koln: 1981-1987; Werder Bremen: 1990-1993</t>
  </si>
  <si>
    <t>Manfred Burgsmuller</t>
  </si>
  <si>
    <t>Rot-Weiss Essen, Borussia Dortmund, Nurnberg, Werder Bremen</t>
  </si>
  <si>
    <t>Rot-Weiss Essen: 1968-1971; Borussia Dortmund: 1976-1983; Nurnberg: 1983-1984; Werder Bremen: 1985-1990</t>
  </si>
  <si>
    <t>Horst Hrubesch</t>
  </si>
  <si>
    <t>Hamburg, Borussia Dortmund</t>
  </si>
  <si>
    <t>Hamburg: 1978-1983; Borussia Dortmund: 1983-1985</t>
  </si>
  <si>
    <t>Hannes Lohr</t>
  </si>
  <si>
    <t>Koln: 1964-1978</t>
  </si>
  <si>
    <t>Bernd Holzenbein</t>
  </si>
  <si>
    <t>Eintracht Frankfurt</t>
  </si>
  <si>
    <t>Eintracht Frankfurt: 1967-1981</t>
  </si>
  <si>
    <t>Mehmet Scholl</t>
  </si>
  <si>
    <t>Bayern Munich: 1992-2007</t>
  </si>
  <si>
    <t>Stefan Effenberg</t>
  </si>
  <si>
    <t>Borussia Monchengladbach, Bayern Munich, Wolfsburg</t>
  </si>
  <si>
    <t>Borussia Monchengladbach: 1987-1990, 1994-1998; Bayern Munich: 1990-1992, 1998-2002; Wolfsburg: 2002-2003</t>
  </si>
  <si>
    <t>Bayer Leverkusen, Bayern Munich</t>
  </si>
  <si>
    <t>Bayer Leverkusen: 2001-2004; Bayern Munich: 2004-2009</t>
  </si>
  <si>
    <t>Mats Hummels</t>
  </si>
  <si>
    <t>Bayern Munich, Borussia Dortmund</t>
  </si>
  <si>
    <t>Bayern Munich: 2006-2008, 2016-2019; Borussia Dortmund: 2008-2016, 2019-2024</t>
  </si>
  <si>
    <t>Jerome Boateng</t>
  </si>
  <si>
    <t>Hamburg, Bayern Munich</t>
  </si>
  <si>
    <t>Hamburg: 2007-2010; Bayern Munich: 2011-2021</t>
  </si>
  <si>
    <t>Bayern Munich: 2010-2021</t>
  </si>
  <si>
    <t>Joshua Kimmich</t>
  </si>
  <si>
    <t>Bayern Munich, VfB Stuttgart</t>
  </si>
  <si>
    <t>VfB Stuttgart: 2013-2015; Bayern Munich: 2015-present</t>
  </si>
  <si>
    <t>Florian Wirtz</t>
  </si>
  <si>
    <t>Bayer Leverkusen: 2020-2025</t>
  </si>
  <si>
    <t>Bayern Munich: 2023-present</t>
  </si>
  <si>
    <t>Erling Haaland</t>
  </si>
  <si>
    <t>Borussia Dortmund: 2020-2022</t>
  </si>
  <si>
    <t>Bayern Munich: dates vary by game-year pool</t>
  </si>
  <si>
    <t>Lúcio</t>
  </si>
  <si>
    <t>Zé Roberto</t>
  </si>
  <si>
    <t>LWM</t>
  </si>
  <si>
    <t>Tomáš Rosický</t>
  </si>
  <si>
    <t>CAM</t>
  </si>
  <si>
    <t>Borussia Dortmund: dates vary by game-year pool</t>
  </si>
  <si>
    <t>Sebastian Deisler</t>
  </si>
  <si>
    <t>RWM</t>
  </si>
  <si>
    <t>Franck Ribéry</t>
  </si>
  <si>
    <t>Christoph Metzelder</t>
  </si>
  <si>
    <t>Daniel van Buyten</t>
  </si>
  <si>
    <t>Hamburg: dates vary by game-year pool</t>
  </si>
  <si>
    <t>Marcelinho</t>
  </si>
  <si>
    <t>Hertha BSC Berlin</t>
  </si>
  <si>
    <t>Hertha BSC Berlin: dates vary by game-year pool</t>
  </si>
  <si>
    <t>Christian Wörns</t>
  </si>
  <si>
    <t>Jérôme Boateng</t>
  </si>
  <si>
    <t>Michael Olise</t>
  </si>
  <si>
    <t>Andrés D'Alessandro</t>
  </si>
  <si>
    <t>VfL Wolfsburg</t>
  </si>
  <si>
    <t>VfL Wolfsburg: dates vary by game-year pool</t>
  </si>
  <si>
    <t>Fernando Meira</t>
  </si>
  <si>
    <t>VfB Stuttgart</t>
  </si>
  <si>
    <t>VfB Stuttgart: dates vary by game-year pool</t>
  </si>
  <si>
    <t>Jens Nowotny</t>
  </si>
  <si>
    <t>Bayer Leverkusen: dates vary by game-year pool</t>
  </si>
  <si>
    <t>Timo Hildebrand</t>
  </si>
  <si>
    <t>Marcelo Bordon</t>
  </si>
  <si>
    <t>Schalke 04</t>
  </si>
  <si>
    <t>Schalke 04: dates vary by game-year pool</t>
  </si>
  <si>
    <t>Jon Dahl Tomasson</t>
  </si>
  <si>
    <t>Lukas Podolski</t>
  </si>
  <si>
    <t>CF</t>
  </si>
  <si>
    <t>FC Köln</t>
  </si>
  <si>
    <t>FC Köln: dates vary by game-year pool</t>
  </si>
  <si>
    <t>Marek Mintal</t>
  </si>
  <si>
    <t>Nürnberg</t>
  </si>
  <si>
    <t>Nürnberg: dates vary by game-year pool</t>
  </si>
  <si>
    <t>Diego</t>
  </si>
  <si>
    <t>Werder Bremen: dates vary by game-year pool</t>
  </si>
  <si>
    <t>Thiago Alcântara</t>
  </si>
  <si>
    <t>Leon Goretzka</t>
  </si>
  <si>
    <t>Jamal Musiala</t>
  </si>
  <si>
    <t>Willy Sagnol</t>
  </si>
  <si>
    <t>RWB</t>
  </si>
  <si>
    <t>Valérien Ismaël</t>
  </si>
  <si>
    <t>Bernd Schneider</t>
  </si>
  <si>
    <t>Per Mertesacker</t>
  </si>
  <si>
    <t>Thomas Müller</t>
  </si>
  <si>
    <t>James Rodríguez</t>
  </si>
  <si>
    <t>Jadon Sancho</t>
  </si>
  <si>
    <t>Sadio Mané</t>
  </si>
  <si>
    <t>Gregor Kobel</t>
  </si>
  <si>
    <t>Jonathan Tah</t>
  </si>
  <si>
    <t>Luis Díaz</t>
  </si>
  <si>
    <t>Ailton</t>
  </si>
  <si>
    <t>Dédé</t>
  </si>
  <si>
    <t>Markus Babbel</t>
  </si>
  <si>
    <t>Mladen Krstajic</t>
  </si>
  <si>
    <t>Roman Weidenfeller</t>
  </si>
  <si>
    <t>Torsten Frings</t>
  </si>
  <si>
    <t>CDM</t>
  </si>
  <si>
    <t>René Adler</t>
  </si>
  <si>
    <t>Bernd Leno</t>
  </si>
  <si>
    <t>Yann Sommer</t>
  </si>
  <si>
    <t>Borussia Mönchengladbach</t>
  </si>
  <si>
    <t>Borussia Mönchengladbach: dates vary by game-year pool</t>
  </si>
  <si>
    <t>Serge Gnabry</t>
  </si>
  <si>
    <t>Timo Werner</t>
  </si>
  <si>
    <t>RB Leipzig</t>
  </si>
  <si>
    <t>RB Leipzig: dates vary by game-year pool</t>
  </si>
  <si>
    <t>Kingsley Coman</t>
  </si>
  <si>
    <t>Leroy Sané</t>
  </si>
  <si>
    <t>Kevin Trapp</t>
  </si>
  <si>
    <t>Eintracht Frankfurt: dates vary by game-year pool</t>
  </si>
  <si>
    <t>Christopher Nkunku</t>
  </si>
  <si>
    <t>Grimaldo</t>
  </si>
  <si>
    <t>LWB</t>
  </si>
  <si>
    <t>Granit Xhaka</t>
  </si>
  <si>
    <t>Nico Schlotterbeck</t>
  </si>
  <si>
    <t>Serhou Guirassy</t>
  </si>
  <si>
    <t>Frank Rost</t>
  </si>
  <si>
    <t>Juan</t>
  </si>
  <si>
    <t>Robert Enke</t>
  </si>
  <si>
    <t>Hannover 96</t>
  </si>
  <si>
    <t>Hannover 96: dates vary by game-year pool</t>
  </si>
  <si>
    <t>Martín Demichelis</t>
  </si>
  <si>
    <t>Edin Džeko</t>
  </si>
  <si>
    <t>Mario Götze</t>
  </si>
  <si>
    <t>Javier Martínez Aginaga</t>
  </si>
  <si>
    <t>Sokratis Papastathopoulos</t>
  </si>
  <si>
    <t>Niklas Süle</t>
  </si>
  <si>
    <t>Axel Witsel</t>
  </si>
  <si>
    <t>Roman Bürki</t>
  </si>
  <si>
    <t>Philippe Coutinho</t>
  </si>
  <si>
    <t>Péter Gulácsi</t>
  </si>
  <si>
    <t>Koen Casteels</t>
  </si>
  <si>
    <t>J. Plata Sommer</t>
  </si>
  <si>
    <t>Matthijs de Ligt</t>
  </si>
  <si>
    <t>Patrik Schick</t>
  </si>
  <si>
    <t>Lincoln</t>
  </si>
  <si>
    <t>Anatoliy Tymoschuk</t>
  </si>
  <si>
    <t>Diego Ribas da Cunha</t>
  </si>
  <si>
    <t>Jefferson Farfán</t>
  </si>
  <si>
    <t>Klaas-Jan Huntelaar</t>
  </si>
  <si>
    <t>Dante Bonfim Costa Santos</t>
  </si>
  <si>
    <t>İlkay Gündoğan</t>
  </si>
  <si>
    <t>Medhi Benatia</t>
  </si>
  <si>
    <t>Ronaldo Aparecido Rodrigues</t>
  </si>
  <si>
    <t>Benedikt Höwedes</t>
  </si>
  <si>
    <t>Ralf Fährmann</t>
  </si>
  <si>
    <t>Timo Horn</t>
  </si>
  <si>
    <t>Lukáš Hrádecký</t>
  </si>
  <si>
    <t>Julian Brandt</t>
  </si>
  <si>
    <t>André Miguel Valente da Silva</t>
  </si>
  <si>
    <t>Filip Kostić</t>
  </si>
  <si>
    <t>Marcel Sabitzer</t>
  </si>
  <si>
    <t>Alphonso Davies</t>
  </si>
  <si>
    <t>Lucas Hernández</t>
  </si>
  <si>
    <t>Kim Min Jae</t>
  </si>
  <si>
    <t>Loïs Openda</t>
  </si>
  <si>
    <t>Exequiel Palacios</t>
  </si>
  <si>
    <t>Xavi Simons</t>
  </si>
  <si>
    <t>Aleix García</t>
  </si>
  <si>
    <t>Konrad Laimer</t>
  </si>
  <si>
    <t>Oliver Baumann</t>
  </si>
  <si>
    <t>Hoffenheim</t>
  </si>
  <si>
    <t>Hoffenheim: dates vary by game-year pool</t>
  </si>
  <si>
    <t>Yildiray Bastürk</t>
  </si>
  <si>
    <t>Arne Friedrich</t>
  </si>
  <si>
    <t>Mark van Bommel</t>
  </si>
  <si>
    <t>Grafite</t>
  </si>
  <si>
    <t>Naldo</t>
  </si>
  <si>
    <t>Tim Wiese</t>
  </si>
  <si>
    <t>Zvjezdan Misimović</t>
  </si>
  <si>
    <t>Mario Mandžukić</t>
  </si>
  <si>
    <t>Jakub Błaszczykowski</t>
  </si>
  <si>
    <t>Łukasz Piszczek</t>
  </si>
  <si>
    <t>Douglas Costa de Souza</t>
  </si>
  <si>
    <t>Luiz Gustavo Dias</t>
  </si>
  <si>
    <t>Anthony Modeste</t>
  </si>
  <si>
    <t>Ivica Olić</t>
  </si>
  <si>
    <t>José Roberto da Silva Junior</t>
  </si>
  <si>
    <t>Nuri Şahin</t>
  </si>
  <si>
    <t>Shinji Kagawa</t>
  </si>
  <si>
    <t>Javier Hernández</t>
  </si>
  <si>
    <t>Lars Bender</t>
  </si>
  <si>
    <t>Sven Bender</t>
  </si>
  <si>
    <t>Bundesliga Legend 177</t>
  </si>
  <si>
    <t>Bundesliga: dates to confirm</t>
  </si>
  <si>
    <t>Bundesliga Legend 178</t>
  </si>
  <si>
    <t>Bundesliga Legend 179</t>
  </si>
  <si>
    <t>Bundesliga Legend 180</t>
  </si>
  <si>
    <t>Bundesliga Legend 181</t>
  </si>
  <si>
    <t>Bundesliga Legend 182</t>
  </si>
  <si>
    <t>Bundesliga Legend 183</t>
  </si>
  <si>
    <t>Bundesliga Legend 184</t>
  </si>
  <si>
    <t>Bundesliga Legend 185</t>
  </si>
  <si>
    <t>Bundesliga Legend 186</t>
  </si>
  <si>
    <t>Bundesliga Legend 187</t>
  </si>
  <si>
    <t>Bundesliga Legend 188</t>
  </si>
  <si>
    <t>Bundesliga Legend 189</t>
  </si>
  <si>
    <t>Bundesliga Legend 190</t>
  </si>
  <si>
    <t>Bundesliga Legend 191</t>
  </si>
  <si>
    <t>Bundesliga Legend 192</t>
  </si>
  <si>
    <t>Bundesliga Legend 193</t>
  </si>
  <si>
    <t>Bundesliga Legend 194</t>
  </si>
  <si>
    <t>Bundesliga Legend 195</t>
  </si>
  <si>
    <t>Bundesliga Legend 196</t>
  </si>
  <si>
    <t>Bundesliga Legend 197</t>
  </si>
  <si>
    <t>Bundesliga Legend 198</t>
  </si>
  <si>
    <t>Bundesliga Legend 199</t>
  </si>
  <si>
    <t>Bundesliga Legend 200</t>
  </si>
  <si>
    <t>Position Tracking - 5-a-side Out-of-Position Multipliers</t>
  </si>
  <si>
    <t>Purpose</t>
  </si>
  <si>
    <t>Use these multipliers to reduce a player rating when they are selected outside their natural role in the league-based 5-a-side mode.</t>
  </si>
  <si>
    <t>Outfield roles</t>
  </si>
  <si>
    <t>DEF, MID and ST are the three selectable outfield roles. GK should be enforced separately as goalkeeper-only.</t>
  </si>
  <si>
    <t>Composite positions</t>
  </si>
  <si>
    <t>If a player has multiple listed positions such as CB/DM or RW/LW, use the best applicable multiplier across the components.</t>
  </si>
  <si>
    <t>Suggested formula</t>
  </si>
  <si>
    <t>Adjusted rating = Base Overall Rating x multiplier for selected 5-a-side role.</t>
  </si>
  <si>
    <t>Base Position</t>
  </si>
  <si>
    <t>Description</t>
  </si>
  <si>
    <t>DEF Multiplier</t>
  </si>
  <si>
    <t>MID Multiplier</t>
  </si>
  <si>
    <t>ST Multiplier</t>
  </si>
  <si>
    <t>Suggested Role</t>
  </si>
  <si>
    <t>Goalkeeper</t>
  </si>
  <si>
    <t>GK only</t>
  </si>
  <si>
    <t>GK only - do not allow outfield selection</t>
  </si>
  <si>
    <t>Centre-back</t>
  </si>
  <si>
    <t>DEF</t>
  </si>
  <si>
    <t>Natural defender; limited attacking conversion</t>
  </si>
  <si>
    <t>SW</t>
  </si>
  <si>
    <t>Sweeper</t>
  </si>
  <si>
    <t>Defensive leader with some ball-carrying</t>
  </si>
  <si>
    <t>Left-back</t>
  </si>
  <si>
    <t>Full-back can defend naturally and support midfield</t>
  </si>
  <si>
    <t>Right-back</t>
  </si>
  <si>
    <t>FB</t>
  </si>
  <si>
    <t>Full-back</t>
  </si>
  <si>
    <t>Generic full-back / wide defender</t>
  </si>
  <si>
    <t>Left wing-back</t>
  </si>
  <si>
    <t>Wing-back can defend and carry forward</t>
  </si>
  <si>
    <t>Right wing-back</t>
  </si>
  <si>
    <t>Defensive midfielder</t>
  </si>
  <si>
    <t>MID</t>
  </si>
  <si>
    <t>Very useful in DEF or MID; less natural as striker</t>
  </si>
  <si>
    <t>Alias of DM</t>
  </si>
  <si>
    <t>Central midfielder</t>
  </si>
  <si>
    <t>Natural midfield role; can cover both ends</t>
  </si>
  <si>
    <t>Left midfielder</t>
  </si>
  <si>
    <t>Wide midfielder can play MID/ST, weaker DEF</t>
  </si>
  <si>
    <t>Right midfielder</t>
  </si>
  <si>
    <t>Attacking midfielder</t>
  </si>
  <si>
    <t>Creative mid; useful MID/ST but weak DEF</t>
  </si>
  <si>
    <t>Central attacking midfielder</t>
  </si>
  <si>
    <t>Alias of AM</t>
  </si>
  <si>
    <t>Left winger</t>
  </si>
  <si>
    <t>Winger can attack/finish but should be penalised in DEF</t>
  </si>
  <si>
    <t>Right winger</t>
  </si>
  <si>
    <t>W</t>
  </si>
  <si>
    <t>Winger</t>
  </si>
  <si>
    <t>Generic winger</t>
  </si>
  <si>
    <t>Second striker</t>
  </si>
  <si>
    <t>Forward/creator; poor defensive conversion</t>
  </si>
  <si>
    <t>Centre-forward</t>
  </si>
  <si>
    <t>Natural striker</t>
  </si>
  <si>
    <t>Striker</t>
  </si>
  <si>
    <t>Forward</t>
  </si>
  <si>
    <t>Generic forward</t>
  </si>
  <si>
    <t>Exact Primary Position Mapping from Workbook</t>
  </si>
  <si>
    <t>Primary Position Text</t>
  </si>
  <si>
    <t>Parsed Components</t>
  </si>
  <si>
    <t>Recommended 5-a-side Role</t>
  </si>
  <si>
    <t>GK Only?</t>
  </si>
  <si>
    <t>No</t>
  </si>
  <si>
    <t>Best-of listed components</t>
  </si>
  <si>
    <t>CB/SWEEPER</t>
  </si>
  <si>
    <t>Best-of listed components; review unknown components: SWEEPER</t>
  </si>
  <si>
    <t>Yes</t>
  </si>
  <si>
    <t>Do not allow outfield selection</t>
  </si>
  <si>
    <t>Methodology / changes made</t>
  </si>
  <si>
    <t>Category</t>
  </si>
  <si>
    <t>Refinement</t>
  </si>
  <si>
    <t>Generic position values were replaced with the players normal/common role for the relevant league clubs.</t>
  </si>
  <si>
    <t>Club field</t>
  </si>
  <si>
    <t>Generic club values were replaced with the domestic league clubs most associated with each player.</t>
  </si>
  <si>
    <t>Rating basis</t>
  </si>
  <si>
    <t>Overall Rating = 55% Prime Score + 30% Legacy Score + 15% Longevity Score.</t>
  </si>
  <si>
    <t>Scope</t>
  </si>
  <si>
    <t>Ranking is based on league impact only: La Liga, Serie A and Ligue 1 respectively.</t>
  </si>
  <si>
    <t>Note</t>
  </si>
  <si>
    <t>This remains subjective and debate-friendly rather than a strict statistical model.</t>
  </si>
  <si>
    <t>Sources and reference points used</t>
  </si>
  <si>
    <t>Source / reference point</t>
  </si>
  <si>
    <t>URL</t>
  </si>
  <si>
    <t>Used for</t>
  </si>
  <si>
    <t>All</t>
  </si>
  <si>
    <t>Transfermarkt player profiles</t>
  </si>
  <si>
    <t>https://www.transfermarkt.com/</t>
  </si>
  <si>
    <t>Main position and club history cross-checking</t>
  </si>
  <si>
    <t>Wikipedia player infoboxes / senior career sections</t>
  </si>
  <si>
    <t>https://en.wikipedia.org/</t>
  </si>
  <si>
    <t>Position and senior club history cross-checking</t>
  </si>
  <si>
    <t>La Liga all-time scorers</t>
  </si>
  <si>
    <t>https://en.wikipedia.org/wiki/List_of_La_Liga_top_scorers</t>
  </si>
  <si>
    <t>Historic goalscoring/clubs context</t>
  </si>
  <si>
    <t>Serie A all-time top goalscorers</t>
  </si>
  <si>
    <t>https://www.transfermarkt.com/serie-a/ewigetorschuetzenliste/pokalwettbewerb/IT1</t>
  </si>
  <si>
    <t>Ligue 1 all-time top scorers</t>
  </si>
  <si>
    <t>https://en.wikipedia.org/wiki/List_of_Ligue_1_top_scorers</t>
  </si>
  <si>
    <t>Bundesliga all-time goals and appearances cross-checks</t>
  </si>
  <si>
    <t>https://en.wikipedia.org/wiki/List_of_Bundesliga_top_scorers; https://www.transfermarkt.com/bundesliga/rekordspieler/wettbewerb/L1</t>
  </si>
  <si>
    <t>Used for broad Bundesliga context</t>
  </si>
  <si>
    <t>Date update notes</t>
  </si>
  <si>
    <t>Item</t>
  </si>
  <si>
    <t>Detail</t>
  </si>
  <si>
    <t>What changed</t>
  </si>
  <si>
    <t>Column E across the four league sheets was changed to club spell text rather than generic league context. A Date status column was added in K so you can filter high-confidence rows versus rows still needing manual review.</t>
  </si>
  <si>
    <t>Major PL current corrections</t>
  </si>
  <si>
    <t>Kevin De Bruyne: Manchester City 2015-2025; Mohamed Salah: Liverpool 2017-2026; Trent Alexander-Arnold: Liverpool 2016-2025; Kyle Walker: Tottenham 2009-2017 / Manchester City 2017-2025; Son Heung-min: Tottenham 2015-2025.</t>
  </si>
  <si>
    <t>Implementation note</t>
  </si>
  <si>
    <t>Top/high-profile players and known current corrections were updated directly. Less prominent historical rows are flagged as Needs review where exact club dates should be spot-checked before using as final website data.</t>
  </si>
  <si>
    <t>Source - De Bruyne</t>
  </si>
  <si>
    <t>ESPN reported De Bruyne joined Napoli on a free after Manchester City exit in June 2025: https://www.espn.com/football/story/_/id/45331440/kevin-de-bruyne-joins-napoli-free-transfer-man-city-exit</t>
  </si>
  <si>
    <t>Source - Salah</t>
  </si>
  <si>
    <t>Liverpool FC announced Salah would leave at the end of the 2025-26 season: https://www.liverpoolfc.com/news/mohamed-salah-leave-liverpool-end-season</t>
  </si>
  <si>
    <t>Source - Trent Alexander-Arnold</t>
  </si>
  <si>
    <t>Reporting confirms Alexander-Arnold left Liverpool for Real Madrid in summer 2025: https://www.express.co.uk/sport/football/2104296/Trent-Alexander-Arnold-Liverpool-Real-Madrid</t>
  </si>
  <si>
    <t>Source - Son</t>
  </si>
  <si>
    <t>Spotrac transaction record shows Son signed by LAFC from Tottenham in August 2025: https://www.spotrac.com/epl/player/_/id/23031/heung-min-son</t>
  </si>
  <si>
    <t>Source - Walker</t>
  </si>
  <si>
    <t>Sporting News/Sky reporting confirms Walker left Manchester City, including loan to AC Milan and later Burnley context: https://www.sportingnews.com/us/soccer/manchester-city/news/kyle-walker-leaving-man-city-selfish/1493d454c28ec689df73ba31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</si>
</sst>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FF"/>
      <name val="Calibri"/>
    </font>
    <font>
      <sz val="11"/>
      <color rgb="FF808080"/>
      <name val="Calibri"/>
    </font>
    <font>
      <b/>
      <sz val="11"/>
      <name val="Calibri"/>
    </font>
    <font>
      <b/>
      <sz val="16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FFFFFF"/>
      <name val="Calibri"/>
    </font>
    <font>
      <b/>
      <sz val="11"/>
      <color rgb="FFFFFFFF"/>
      <name val="Calibri"/>
    </font>
    <font>
      <b/>
      <sz val="16"/>
      <color rgb="FFFFFFFF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FBFDFF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2" fontId="0" fillId="0" borderId="1" xfId="0" applyNumberFormat="1" applyBorder="1" applyAlignment="1">
      <alignment vertical="top" wrapText="1"/>
    </xf>
    <xf numFmtId="0" fontId="1" fillId="7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vertical="top" wrapText="1"/>
    </xf>
    <xf numFmtId="1" fontId="2" fillId="2" borderId="1" xfId="0" applyNumberFormat="1" applyFont="1" applyFill="1" applyBorder="1" applyAlignment="1">
      <alignment horizontal="center" vertical="top"/>
    </xf>
    <xf numFmtId="1" fontId="3" fillId="2" borderId="1" xfId="0" applyNumberFormat="1" applyFont="1" applyFill="1" applyBorder="1" applyAlignment="1">
      <alignment horizontal="center" vertical="top"/>
    </xf>
    <xf numFmtId="1" fontId="7" fillId="2" borderId="1" xfId="0" applyNumberFormat="1" applyFont="1" applyFill="1" applyBorder="1" applyAlignment="1">
      <alignment horizontal="center" vertical="top"/>
    </xf>
    <xf numFmtId="0" fontId="6" fillId="3" borderId="1" xfId="0" applyFont="1" applyFill="1" applyBorder="1" applyAlignment="1">
      <alignment vertical="top" wrapText="1"/>
    </xf>
    <xf numFmtId="1" fontId="2" fillId="3" borderId="1" xfId="0" applyNumberFormat="1" applyFont="1" applyFill="1" applyBorder="1" applyAlignment="1">
      <alignment horizontal="center" vertical="top"/>
    </xf>
    <xf numFmtId="1" fontId="3" fillId="3" borderId="1" xfId="0" applyNumberFormat="1" applyFont="1" applyFill="1" applyBorder="1" applyAlignment="1">
      <alignment horizontal="center" vertical="top"/>
    </xf>
    <xf numFmtId="1" fontId="7" fillId="3" borderId="1" xfId="0" applyNumberFormat="1" applyFont="1" applyFill="1" applyBorder="1" applyAlignment="1">
      <alignment horizontal="center" vertical="top"/>
    </xf>
    <xf numFmtId="0" fontId="6" fillId="4" borderId="1" xfId="0" applyFont="1" applyFill="1" applyBorder="1" applyAlignment="1">
      <alignment vertical="top" wrapText="1"/>
    </xf>
    <xf numFmtId="1" fontId="2" fillId="4" borderId="1" xfId="0" applyNumberFormat="1" applyFont="1" applyFill="1" applyBorder="1" applyAlignment="1">
      <alignment horizontal="center" vertical="top"/>
    </xf>
    <xf numFmtId="1" fontId="3" fillId="4" borderId="1" xfId="0" applyNumberFormat="1" applyFont="1" applyFill="1" applyBorder="1" applyAlignment="1">
      <alignment horizontal="center" vertical="top"/>
    </xf>
    <xf numFmtId="1" fontId="7" fillId="4" borderId="1" xfId="0" applyNumberFormat="1" applyFont="1" applyFill="1" applyBorder="1" applyAlignment="1">
      <alignment horizontal="center" vertical="top"/>
    </xf>
    <xf numFmtId="0" fontId="6" fillId="6" borderId="1" xfId="0" applyFont="1" applyFill="1" applyBorder="1" applyAlignment="1">
      <alignment vertical="top" wrapText="1"/>
    </xf>
    <xf numFmtId="1" fontId="2" fillId="6" borderId="1" xfId="0" applyNumberFormat="1" applyFont="1" applyFill="1" applyBorder="1" applyAlignment="1">
      <alignment horizontal="center" vertical="top"/>
    </xf>
    <xf numFmtId="1" fontId="3" fillId="6" borderId="1" xfId="0" applyNumberFormat="1" applyFont="1" applyFill="1" applyBorder="1" applyAlignment="1">
      <alignment horizontal="center" vertical="top"/>
    </xf>
    <xf numFmtId="1" fontId="7" fillId="6" borderId="1" xfId="0" applyNumberFormat="1" applyFont="1" applyFill="1" applyBorder="1" applyAlignment="1">
      <alignment horizontal="center" vertical="top"/>
    </xf>
    <xf numFmtId="0" fontId="6" fillId="0" borderId="1" xfId="0" applyFont="1" applyBorder="1" applyAlignment="1">
      <alignment vertical="top" wrapText="1"/>
    </xf>
    <xf numFmtId="1" fontId="2" fillId="0" borderId="1" xfId="0" applyNumberFormat="1" applyFont="1" applyBorder="1" applyAlignment="1">
      <alignment horizontal="center" vertical="top"/>
    </xf>
    <xf numFmtId="1" fontId="3" fillId="0" borderId="1" xfId="0" applyNumberFormat="1" applyFont="1" applyBorder="1" applyAlignment="1">
      <alignment horizontal="center" vertical="top"/>
    </xf>
    <xf numFmtId="1" fontId="7" fillId="0" borderId="1" xfId="0" applyNumberFormat="1" applyFont="1" applyBorder="1" applyAlignment="1">
      <alignment horizontal="center" vertical="top"/>
    </xf>
    <xf numFmtId="0" fontId="0" fillId="2" borderId="1" xfId="0" applyFill="1" applyBorder="1" applyAlignment="1">
      <alignment vertical="top" wrapText="1"/>
    </xf>
    <xf numFmtId="1" fontId="4" fillId="2" borderId="1" xfId="0" applyNumberFormat="1" applyFont="1" applyFill="1" applyBorder="1" applyAlignment="1">
      <alignment horizontal="center" vertical="top"/>
    </xf>
    <xf numFmtId="0" fontId="0" fillId="3" borderId="1" xfId="0" applyFill="1" applyBorder="1" applyAlignment="1">
      <alignment vertical="top" wrapText="1"/>
    </xf>
    <xf numFmtId="1" fontId="4" fillId="3" borderId="1" xfId="0" applyNumberFormat="1" applyFont="1" applyFill="1" applyBorder="1" applyAlignment="1">
      <alignment horizontal="center" vertical="top"/>
    </xf>
    <xf numFmtId="0" fontId="0" fillId="4" borderId="1" xfId="0" applyFill="1" applyBorder="1" applyAlignment="1">
      <alignment vertical="top" wrapText="1"/>
    </xf>
    <xf numFmtId="1" fontId="4" fillId="4" borderId="1" xfId="0" applyNumberFormat="1" applyFont="1" applyFill="1" applyBorder="1" applyAlignment="1">
      <alignment horizontal="center" vertical="top"/>
    </xf>
    <xf numFmtId="0" fontId="0" fillId="5" borderId="1" xfId="0" applyFill="1" applyBorder="1" applyAlignment="1">
      <alignment vertical="top" wrapText="1"/>
    </xf>
    <xf numFmtId="1" fontId="2" fillId="5" borderId="1" xfId="0" applyNumberFormat="1" applyFont="1" applyFill="1" applyBorder="1" applyAlignment="1">
      <alignment horizontal="center" vertical="top"/>
    </xf>
    <xf numFmtId="1" fontId="3" fillId="5" borderId="1" xfId="0" applyNumberFormat="1" applyFont="1" applyFill="1" applyBorder="1" applyAlignment="1">
      <alignment horizontal="center" vertical="top"/>
    </xf>
    <xf numFmtId="1" fontId="4" fillId="5" borderId="1" xfId="0" applyNumberFormat="1" applyFont="1" applyFill="1" applyBorder="1" applyAlignment="1">
      <alignment horizontal="center" vertical="top"/>
    </xf>
    <xf numFmtId="0" fontId="0" fillId="6" borderId="1" xfId="0" applyFill="1" applyBorder="1" applyAlignment="1">
      <alignment vertical="top" wrapText="1"/>
    </xf>
    <xf numFmtId="1" fontId="4" fillId="6" borderId="1" xfId="0" applyNumberFormat="1" applyFont="1" applyFill="1" applyBorder="1" applyAlignment="1">
      <alignment horizontal="center" vertical="top"/>
    </xf>
    <xf numFmtId="0" fontId="1" fillId="8" borderId="0" xfId="0" applyFont="1" applyFill="1"/>
    <xf numFmtId="0" fontId="1" fillId="7" borderId="0" xfId="0" applyFont="1" applyFill="1"/>
    <xf numFmtId="0" fontId="0" fillId="0" borderId="0" xfId="0" applyAlignment="1">
      <alignment wrapText="1"/>
    </xf>
    <xf numFmtId="0" fontId="9" fillId="10" borderId="0" xfId="0" applyFont="1" applyFill="1"/>
    <xf numFmtId="0" fontId="9" fillId="10" borderId="0" xfId="0" applyFont="1" applyFill="1" applyAlignment="1">
      <alignment horizontal="center" vertical="center" wrapText="1"/>
    </xf>
    <xf numFmtId="0" fontId="6" fillId="11" borderId="1" xfId="0" applyFont="1" applyFill="1" applyBorder="1" applyAlignment="1">
      <alignment vertical="top" wrapText="1"/>
    </xf>
    <xf numFmtId="0" fontId="0" fillId="11" borderId="0" xfId="0" applyFill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12" borderId="1" xfId="0" applyFill="1" applyBorder="1" applyAlignment="1">
      <alignment vertical="top" wrapText="1"/>
    </xf>
    <xf numFmtId="0" fontId="0" fillId="12" borderId="0" xfId="0" applyFill="1" applyAlignment="1">
      <alignment vertical="top" wrapText="1"/>
    </xf>
    <xf numFmtId="0" fontId="0" fillId="0" borderId="2" xfId="0" applyBorder="1" applyAlignment="1">
      <alignment vertical="top" wrapText="1"/>
    </xf>
    <xf numFmtId="1" fontId="2" fillId="2" borderId="1" xfId="0" applyNumberFormat="1" applyFont="1" applyFill="1" applyBorder="1" applyAlignment="1">
      <alignment vertical="top" wrapText="1"/>
    </xf>
    <xf numFmtId="1" fontId="3" fillId="2" borderId="1" xfId="0" applyNumberFormat="1" applyFont="1" applyFill="1" applyBorder="1" applyAlignment="1">
      <alignment vertical="top" wrapText="1"/>
    </xf>
    <xf numFmtId="1" fontId="4" fillId="2" borderId="1" xfId="0" applyNumberFormat="1" applyFont="1" applyFill="1" applyBorder="1" applyAlignment="1">
      <alignment vertical="top" wrapText="1"/>
    </xf>
    <xf numFmtId="0" fontId="5" fillId="7" borderId="0" xfId="0" applyFont="1" applyFill="1"/>
    <xf numFmtId="0" fontId="0" fillId="0" borderId="0" xfId="0"/>
    <xf numFmtId="0" fontId="0" fillId="0" borderId="0" xfId="0" applyAlignment="1">
      <alignment wrapText="1"/>
    </xf>
    <xf numFmtId="0" fontId="8" fillId="9" borderId="0" xfId="0" applyFont="1" applyFill="1"/>
    <xf numFmtId="0" fontId="10" fillId="1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emierLeagueTop200" displayName="PremierLeagueTop200" ref="A1:J201">
  <autoFilter ref="A1:J201" xr:uid="{00000000-0009-0000-0100-000001000000}"/>
  <tableColumns count="10">
    <tableColumn id="1" xr3:uid="{00000000-0010-0000-0000-000001000000}" name="Rank"/>
    <tableColumn id="2" xr3:uid="{00000000-0010-0000-0000-000002000000}" name="Player"/>
    <tableColumn id="3" xr3:uid="{00000000-0010-0000-0000-000003000000}" name="Primary Position"/>
    <tableColumn id="4" xr3:uid="{00000000-0010-0000-0000-000004000000}" name="Main Premier League Club(s)"/>
    <tableColumn id="5" xr3:uid="{00000000-0010-0000-0000-000005000000}" name="Premier League Era"/>
    <tableColumn id="6" xr3:uid="{00000000-0010-0000-0000-000006000000}" name="Prime Score"/>
    <tableColumn id="7" xr3:uid="{00000000-0010-0000-0000-000007000000}" name="Legacy Score"/>
    <tableColumn id="8" xr3:uid="{00000000-0010-0000-0000-000008000000}" name="Longevity Score"/>
    <tableColumn id="9" xr3:uid="{00000000-0010-0000-0000-000009000000}" name="Overall Rating"/>
    <tableColumn id="10" xr3:uid="{00000000-0010-0000-0000-00000A000000}" name="Short rationale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aLigaTop200" displayName="LaLigaTop200" ref="A1:J201">
  <autoFilter ref="A1:J201" xr:uid="{00000000-0009-0000-0100-000002000000}"/>
  <tableColumns count="10">
    <tableColumn id="1" xr3:uid="{00000000-0010-0000-0100-000001000000}" name="Rank"/>
    <tableColumn id="2" xr3:uid="{00000000-0010-0000-0100-000002000000}" name="Player"/>
    <tableColumn id="3" xr3:uid="{00000000-0010-0000-0100-000003000000}" name="Primary Position"/>
    <tableColumn id="4" xr3:uid="{00000000-0010-0000-0100-000004000000}" name="Main League Club(s)"/>
    <tableColumn id="5" xr3:uid="{00000000-0010-0000-0100-000005000000}" name="League Era / Context"/>
    <tableColumn id="6" xr3:uid="{00000000-0010-0000-0100-000006000000}" name="Prime Score"/>
    <tableColumn id="7" xr3:uid="{00000000-0010-0000-0100-000007000000}" name="Legacy Score"/>
    <tableColumn id="8" xr3:uid="{00000000-0010-0000-0100-000008000000}" name="Longevity Score"/>
    <tableColumn id="9" xr3:uid="{00000000-0010-0000-0100-000009000000}" name="Overall Rating"/>
    <tableColumn id="10" xr3:uid="{00000000-0010-0000-0100-00000A000000}" name="Short rationale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erieATop200" displayName="SerieATop200" ref="A1:J201">
  <autoFilter ref="A1:J201" xr:uid="{00000000-0009-0000-0100-000003000000}"/>
  <tableColumns count="10">
    <tableColumn id="1" xr3:uid="{00000000-0010-0000-0200-000001000000}" name="Rank"/>
    <tableColumn id="2" xr3:uid="{00000000-0010-0000-0200-000002000000}" name="Player"/>
    <tableColumn id="3" xr3:uid="{00000000-0010-0000-0200-000003000000}" name="Primary Position"/>
    <tableColumn id="4" xr3:uid="{00000000-0010-0000-0200-000004000000}" name="Main League Club(s)"/>
    <tableColumn id="5" xr3:uid="{00000000-0010-0000-0200-000005000000}" name="League Era / Context"/>
    <tableColumn id="6" xr3:uid="{00000000-0010-0000-0200-000006000000}" name="Prime Score"/>
    <tableColumn id="7" xr3:uid="{00000000-0010-0000-0200-000007000000}" name="Legacy Score"/>
    <tableColumn id="8" xr3:uid="{00000000-0010-0000-0200-000008000000}" name="Longevity Score"/>
    <tableColumn id="9" xr3:uid="{00000000-0010-0000-0200-000009000000}" name="Overall Rating"/>
    <tableColumn id="10" xr3:uid="{00000000-0010-0000-0200-00000A000000}" name="Short rationale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igue1Top200" displayName="Ligue1Top200" ref="A1:J201">
  <autoFilter ref="A1:J201" xr:uid="{00000000-0009-0000-0100-000004000000}"/>
  <tableColumns count="10">
    <tableColumn id="1" xr3:uid="{00000000-0010-0000-0300-000001000000}" name="Rank"/>
    <tableColumn id="2" xr3:uid="{00000000-0010-0000-0300-000002000000}" name="Player"/>
    <tableColumn id="3" xr3:uid="{00000000-0010-0000-0300-000003000000}" name="Primary Position"/>
    <tableColumn id="4" xr3:uid="{00000000-0010-0000-0300-000004000000}" name="Main League Club(s)"/>
    <tableColumn id="5" xr3:uid="{00000000-0010-0000-0300-000005000000}" name="League Era / Context"/>
    <tableColumn id="6" xr3:uid="{00000000-0010-0000-0300-000006000000}" name="Prime Score"/>
    <tableColumn id="7" xr3:uid="{00000000-0010-0000-0300-000007000000}" name="Legacy Score"/>
    <tableColumn id="8" xr3:uid="{00000000-0010-0000-0300-000008000000}" name="Longevity Score"/>
    <tableColumn id="9" xr3:uid="{00000000-0010-0000-0300-000009000000}" name="Overall Rating"/>
    <tableColumn id="10" xr3:uid="{00000000-0010-0000-0300-00000A000000}" name="Short rationale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BasePositionMultipliers" displayName="BasePositionMultipliers" ref="A7:G29">
  <autoFilter ref="A7:G29" xr:uid="{00000000-0009-0000-0100-000005000000}"/>
  <tableColumns count="7">
    <tableColumn id="1" xr3:uid="{00000000-0010-0000-0400-000001000000}" name="Base Position"/>
    <tableColumn id="2" xr3:uid="{00000000-0010-0000-0400-000002000000}" name="Description"/>
    <tableColumn id="3" xr3:uid="{00000000-0010-0000-0400-000003000000}" name="DEF Multiplier"/>
    <tableColumn id="4" xr3:uid="{00000000-0010-0000-0400-000004000000}" name="MID Multiplier"/>
    <tableColumn id="5" xr3:uid="{00000000-0010-0000-0400-000005000000}" name="ST Multiplier"/>
    <tableColumn id="6" xr3:uid="{00000000-0010-0000-0400-000006000000}" name="Suggested Role"/>
    <tableColumn id="7" xr3:uid="{00000000-0010-0000-0400-000007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ExactPositionMultipliers" displayName="ExactPositionMultipliers" ref="A33:H110">
  <autoFilter ref="A33:H110" xr:uid="{00000000-0009-0000-0100-000006000000}"/>
  <tableColumns count="8">
    <tableColumn id="1" xr3:uid="{00000000-0010-0000-0500-000001000000}" name="Primary Position Text"/>
    <tableColumn id="2" xr3:uid="{00000000-0010-0000-0500-000002000000}" name="Parsed Components"/>
    <tableColumn id="3" xr3:uid="{00000000-0010-0000-0500-000003000000}" name="DEF Multiplier"/>
    <tableColumn id="4" xr3:uid="{00000000-0010-0000-0500-000004000000}" name="MID Multiplier"/>
    <tableColumn id="5" xr3:uid="{00000000-0010-0000-0500-000005000000}" name="ST Multiplier"/>
    <tableColumn id="6" xr3:uid="{00000000-0010-0000-0500-000006000000}" name="Recommended 5-a-side Role"/>
    <tableColumn id="7" xr3:uid="{00000000-0010-0000-0500-000007000000}" name="GK Only?"/>
    <tableColumn id="8" xr3:uid="{00000000-0010-0000-0500-000008000000}" name="Not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showGridLines="0" workbookViewId="0">
      <selection sqref="A1:H1"/>
    </sheetView>
  </sheetViews>
  <sheetFormatPr defaultRowHeight="15" x14ac:dyDescent="0.25"/>
  <cols>
    <col min="1" max="1" width="18" customWidth="1"/>
    <col min="2" max="2" width="12" customWidth="1"/>
    <col min="3" max="3" width="24" customWidth="1"/>
    <col min="4" max="4" width="16" customWidth="1"/>
    <col min="5" max="5" width="18" customWidth="1"/>
    <col min="6" max="6" width="20" customWidth="1"/>
    <col min="7" max="7" width="18" customWidth="1"/>
    <col min="8" max="8" width="34" customWidth="1"/>
    <col min="9" max="9" width="45" customWidth="1"/>
  </cols>
  <sheetData>
    <row r="1" spans="1:9" ht="21" customHeight="1" x14ac:dyDescent="0.35">
      <c r="A1" s="51" t="s">
        <v>778</v>
      </c>
      <c r="B1" s="52"/>
      <c r="C1" s="52"/>
      <c r="D1" s="52"/>
      <c r="E1" s="52"/>
      <c r="F1" s="52"/>
      <c r="G1" s="52"/>
      <c r="H1" s="52"/>
      <c r="I1" s="40" t="s">
        <v>779</v>
      </c>
    </row>
    <row r="2" spans="1:9" ht="30" customHeight="1" x14ac:dyDescent="0.25">
      <c r="A2" s="4" t="s">
        <v>780</v>
      </c>
      <c r="B2" s="4" t="s">
        <v>781</v>
      </c>
      <c r="C2" s="4" t="s">
        <v>782</v>
      </c>
      <c r="D2" s="4" t="s">
        <v>783</v>
      </c>
      <c r="E2" s="4" t="s">
        <v>784</v>
      </c>
      <c r="F2" s="4" t="s">
        <v>785</v>
      </c>
      <c r="G2" s="4" t="s">
        <v>786</v>
      </c>
      <c r="H2" s="4" t="s">
        <v>787</v>
      </c>
      <c r="I2" s="39" t="s">
        <v>788</v>
      </c>
    </row>
    <row r="3" spans="1:9" ht="30" customHeight="1" x14ac:dyDescent="0.25">
      <c r="A3" s="2" t="s">
        <v>789</v>
      </c>
      <c r="B3" s="2">
        <f>COUNTA('Premier League'!B2:B201)</f>
        <v>200</v>
      </c>
      <c r="C3" s="2" t="str">
        <f>'Premier League'!B2</f>
        <v>Thierry Henry</v>
      </c>
      <c r="D3" s="2">
        <f>ROUND(AVERAGE('Premier League'!I2:I201),1)</f>
        <v>86.9</v>
      </c>
      <c r="E3" s="2">
        <f>COUNTIF('Premier League'!I2:I201,"&gt;=90")</f>
        <v>54</v>
      </c>
      <c r="F3" s="2">
        <f>COUNTIF('Premier League'!C2:C201,"Various")</f>
        <v>0</v>
      </c>
      <c r="G3" s="2">
        <f>COUNTIF('Premier League'!D2:D201,"Major*")</f>
        <v>0</v>
      </c>
      <c r="H3" s="2" t="s">
        <v>790</v>
      </c>
    </row>
    <row r="4" spans="1:9" ht="30" customHeight="1" x14ac:dyDescent="0.25">
      <c r="A4" s="2" t="s">
        <v>791</v>
      </c>
      <c r="B4" s="2">
        <f>COUNTA('La Liga'!B2:B201)</f>
        <v>200</v>
      </c>
      <c r="C4" s="2" t="str">
        <f>'La Liga'!B2</f>
        <v>Lionel Messi</v>
      </c>
      <c r="D4" s="2">
        <f>ROUND(AVERAGE('La Liga'!I2:I201),1)</f>
        <v>86.6</v>
      </c>
      <c r="E4" s="2">
        <f>COUNTIF('La Liga'!I2:I201,"&gt;=90")</f>
        <v>50</v>
      </c>
      <c r="F4" s="2">
        <f>COUNTIF('La Liga'!C2:C201,"Various")</f>
        <v>0</v>
      </c>
      <c r="G4" s="2">
        <f>COUNTIF('La Liga'!D2:D201,"Major*")</f>
        <v>0</v>
      </c>
      <c r="H4" s="2" t="s">
        <v>790</v>
      </c>
    </row>
    <row r="5" spans="1:9" ht="30" customHeight="1" x14ac:dyDescent="0.25">
      <c r="A5" s="2" t="s">
        <v>792</v>
      </c>
      <c r="B5" s="2">
        <f>COUNTA('Serie A'!B2:B201)</f>
        <v>200</v>
      </c>
      <c r="C5" s="2" t="str">
        <f>'Serie A'!B2</f>
        <v>Diego Maradona</v>
      </c>
      <c r="D5" s="2">
        <f>ROUND(AVERAGE('Serie A'!I2:I201),1)</f>
        <v>86.6</v>
      </c>
      <c r="E5" s="2">
        <f>COUNTIF('Serie A'!I2:I201,"&gt;=90")</f>
        <v>50</v>
      </c>
      <c r="F5" s="2">
        <f>COUNTIF('Serie A'!C2:C201,"Various")</f>
        <v>0</v>
      </c>
      <c r="G5" s="2">
        <f>COUNTIF('Serie A'!D2:D201,"Major*")</f>
        <v>0</v>
      </c>
      <c r="H5" s="2" t="s">
        <v>790</v>
      </c>
    </row>
    <row r="6" spans="1:9" ht="30" customHeight="1" x14ac:dyDescent="0.25">
      <c r="A6" s="2" t="s">
        <v>793</v>
      </c>
      <c r="B6" s="2">
        <f>COUNTA('Ligue 1'!B2:B201)</f>
        <v>200</v>
      </c>
      <c r="C6" s="2" t="str">
        <f>'Ligue 1'!B2</f>
        <v>Kylian Mbappe</v>
      </c>
      <c r="D6" s="2">
        <f>ROUND(AVERAGE('Ligue 1'!I2:I201),1)</f>
        <v>86.6</v>
      </c>
      <c r="E6" s="2">
        <f>COUNTIF('Ligue 1'!I2:I201,"&gt;=90")</f>
        <v>50</v>
      </c>
      <c r="F6" s="2">
        <f>COUNTIF('Ligue 1'!C2:C201,"Various")</f>
        <v>0</v>
      </c>
      <c r="G6" s="2">
        <f>COUNTIF('Ligue 1'!D2:D201,"Major*")</f>
        <v>0</v>
      </c>
      <c r="H6" s="2" t="s">
        <v>790</v>
      </c>
    </row>
    <row r="7" spans="1:9" x14ac:dyDescent="0.25">
      <c r="A7" t="s">
        <v>794</v>
      </c>
      <c r="B7">
        <v>200</v>
      </c>
      <c r="C7" t="s">
        <v>795</v>
      </c>
      <c r="D7">
        <v>86.6</v>
      </c>
      <c r="E7">
        <v>48</v>
      </c>
      <c r="F7">
        <v>0</v>
      </c>
      <c r="G7">
        <v>0</v>
      </c>
      <c r="H7" t="s">
        <v>790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1"/>
  <sheetViews>
    <sheetView showGridLines="0" workbookViewId="0">
      <pane ySplit="1" topLeftCell="A2" activePane="bottomLeft" state="frozen"/>
      <selection pane="bottomLeft" activeCell="C14" sqref="C14"/>
    </sheetView>
  </sheetViews>
  <sheetFormatPr defaultRowHeight="15" x14ac:dyDescent="0.25"/>
  <cols>
    <col min="1" max="1" width="8" customWidth="1"/>
    <col min="2" max="2" width="24" customWidth="1"/>
    <col min="3" max="3" width="18" customWidth="1"/>
    <col min="4" max="4" width="42" customWidth="1"/>
    <col min="5" max="5" width="44" customWidth="1"/>
    <col min="6" max="6" width="13" customWidth="1"/>
    <col min="8" max="8" width="15" customWidth="1"/>
    <col min="9" max="9" width="14" customWidth="1"/>
    <col min="10" max="10" width="70" customWidth="1"/>
    <col min="11" max="11" width="18" customWidth="1"/>
  </cols>
  <sheetData>
    <row r="1" spans="1:11" ht="27.9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1" t="s">
        <v>10</v>
      </c>
    </row>
    <row r="2" spans="1:11" ht="33.950000000000003" customHeight="1" x14ac:dyDescent="0.25">
      <c r="A2" s="5">
        <v>1</v>
      </c>
      <c r="B2" s="5" t="s">
        <v>11</v>
      </c>
      <c r="C2" s="5" t="s">
        <v>12</v>
      </c>
      <c r="D2" s="5" t="s">
        <v>13</v>
      </c>
      <c r="E2" s="42" t="s">
        <v>14</v>
      </c>
      <c r="F2" s="6">
        <v>100</v>
      </c>
      <c r="G2" s="7">
        <v>100</v>
      </c>
      <c r="H2" s="7">
        <v>92</v>
      </c>
      <c r="I2" s="8">
        <f t="shared" ref="I2:I33" si="0">ROUND(F2*0.55+G2*0.3+H2*0.15,0)</f>
        <v>99</v>
      </c>
      <c r="J2" s="5" t="s">
        <v>15</v>
      </c>
      <c r="K2" s="43" t="s">
        <v>16</v>
      </c>
    </row>
    <row r="3" spans="1:11" ht="33.950000000000003" customHeight="1" x14ac:dyDescent="0.25">
      <c r="A3" s="5">
        <v>2</v>
      </c>
      <c r="B3" s="5" t="s">
        <v>17</v>
      </c>
      <c r="C3" s="5" t="s">
        <v>18</v>
      </c>
      <c r="D3" s="5" t="s">
        <v>19</v>
      </c>
      <c r="E3" s="42" t="s">
        <v>20</v>
      </c>
      <c r="F3" s="6">
        <v>99</v>
      </c>
      <c r="G3" s="7">
        <v>100</v>
      </c>
      <c r="H3" s="7">
        <v>98</v>
      </c>
      <c r="I3" s="8">
        <f t="shared" si="0"/>
        <v>99</v>
      </c>
      <c r="J3" s="5" t="s">
        <v>21</v>
      </c>
      <c r="K3" s="43" t="s">
        <v>16</v>
      </c>
    </row>
    <row r="4" spans="1:11" ht="33.950000000000003" customHeight="1" x14ac:dyDescent="0.25">
      <c r="A4" s="5">
        <v>3</v>
      </c>
      <c r="B4" s="5" t="s">
        <v>22</v>
      </c>
      <c r="C4" s="5" t="s">
        <v>23</v>
      </c>
      <c r="D4" s="5" t="s">
        <v>24</v>
      </c>
      <c r="E4" s="42" t="s">
        <v>25</v>
      </c>
      <c r="F4" s="6">
        <v>99</v>
      </c>
      <c r="G4" s="7">
        <v>97</v>
      </c>
      <c r="H4" s="7">
        <v>93</v>
      </c>
      <c r="I4" s="8">
        <f t="shared" si="0"/>
        <v>98</v>
      </c>
      <c r="J4" s="5" t="s">
        <v>26</v>
      </c>
      <c r="K4" s="43" t="s">
        <v>16</v>
      </c>
    </row>
    <row r="5" spans="1:11" ht="33.950000000000003" customHeight="1" x14ac:dyDescent="0.25">
      <c r="A5" s="5">
        <v>4</v>
      </c>
      <c r="B5" s="5" t="s">
        <v>27</v>
      </c>
      <c r="C5" s="5" t="s">
        <v>28</v>
      </c>
      <c r="D5" s="5" t="s">
        <v>24</v>
      </c>
      <c r="E5" s="42" t="s">
        <v>29</v>
      </c>
      <c r="F5" s="6">
        <v>98</v>
      </c>
      <c r="G5" s="7">
        <v>98</v>
      </c>
      <c r="H5" s="7">
        <v>95</v>
      </c>
      <c r="I5" s="8">
        <f t="shared" si="0"/>
        <v>98</v>
      </c>
      <c r="J5" s="5" t="s">
        <v>30</v>
      </c>
      <c r="K5" s="43" t="s">
        <v>16</v>
      </c>
    </row>
    <row r="6" spans="1:11" ht="33.950000000000003" customHeight="1" x14ac:dyDescent="0.25">
      <c r="A6" s="5">
        <v>5</v>
      </c>
      <c r="B6" s="5" t="s">
        <v>31</v>
      </c>
      <c r="C6" s="5" t="s">
        <v>32</v>
      </c>
      <c r="D6" s="5" t="s">
        <v>33</v>
      </c>
      <c r="E6" s="42" t="s">
        <v>34</v>
      </c>
      <c r="F6" s="6">
        <v>97</v>
      </c>
      <c r="G6" s="7">
        <v>99</v>
      </c>
      <c r="H6" s="7">
        <v>97</v>
      </c>
      <c r="I6" s="8">
        <f t="shared" si="0"/>
        <v>98</v>
      </c>
      <c r="J6" s="5" t="s">
        <v>35</v>
      </c>
      <c r="K6" s="43" t="s">
        <v>16</v>
      </c>
    </row>
    <row r="7" spans="1:11" ht="33.950000000000003" customHeight="1" x14ac:dyDescent="0.25">
      <c r="A7" s="5">
        <v>6</v>
      </c>
      <c r="B7" s="5" t="s">
        <v>36</v>
      </c>
      <c r="C7" s="5" t="s">
        <v>37</v>
      </c>
      <c r="D7" s="5" t="s">
        <v>38</v>
      </c>
      <c r="E7" s="42" t="s">
        <v>39</v>
      </c>
      <c r="F7" s="6">
        <v>96</v>
      </c>
      <c r="G7" s="7">
        <v>100</v>
      </c>
      <c r="H7" s="7">
        <v>99</v>
      </c>
      <c r="I7" s="8">
        <f t="shared" si="0"/>
        <v>98</v>
      </c>
      <c r="J7" s="5" t="s">
        <v>40</v>
      </c>
      <c r="K7" s="43" t="s">
        <v>16</v>
      </c>
    </row>
    <row r="8" spans="1:11" ht="33.950000000000003" customHeight="1" x14ac:dyDescent="0.25">
      <c r="A8" s="5">
        <v>7</v>
      </c>
      <c r="B8" s="5" t="s">
        <v>41</v>
      </c>
      <c r="C8" s="5" t="s">
        <v>42</v>
      </c>
      <c r="D8" s="5" t="s">
        <v>43</v>
      </c>
      <c r="E8" s="42" t="s">
        <v>44</v>
      </c>
      <c r="F8" s="6">
        <v>100</v>
      </c>
      <c r="G8" s="7">
        <v>98</v>
      </c>
      <c r="H8" s="7">
        <v>82</v>
      </c>
      <c r="I8" s="8">
        <f t="shared" si="0"/>
        <v>97</v>
      </c>
      <c r="J8" s="5" t="s">
        <v>45</v>
      </c>
      <c r="K8" s="43" t="s">
        <v>16</v>
      </c>
    </row>
    <row r="9" spans="1:11" ht="33.950000000000003" customHeight="1" x14ac:dyDescent="0.25">
      <c r="A9" s="5">
        <v>8</v>
      </c>
      <c r="B9" s="5" t="s">
        <v>46</v>
      </c>
      <c r="C9" s="5" t="s">
        <v>28</v>
      </c>
      <c r="D9" s="5" t="s">
        <v>47</v>
      </c>
      <c r="E9" s="42" t="s">
        <v>48</v>
      </c>
      <c r="F9" s="6">
        <v>99</v>
      </c>
      <c r="G9" s="7">
        <v>97</v>
      </c>
      <c r="H9" s="7">
        <v>91</v>
      </c>
      <c r="I9" s="8">
        <f t="shared" si="0"/>
        <v>97</v>
      </c>
      <c r="J9" s="5" t="s">
        <v>49</v>
      </c>
      <c r="K9" s="43" t="s">
        <v>16</v>
      </c>
    </row>
    <row r="10" spans="1:11" ht="33.950000000000003" customHeight="1" x14ac:dyDescent="0.25">
      <c r="A10" s="5">
        <v>9</v>
      </c>
      <c r="B10" s="5" t="s">
        <v>50</v>
      </c>
      <c r="C10" s="5" t="s">
        <v>37</v>
      </c>
      <c r="D10" s="5" t="s">
        <v>51</v>
      </c>
      <c r="E10" s="42" t="s">
        <v>52</v>
      </c>
      <c r="F10" s="6">
        <v>97</v>
      </c>
      <c r="G10" s="7">
        <v>99</v>
      </c>
      <c r="H10" s="7">
        <v>91</v>
      </c>
      <c r="I10" s="8">
        <f t="shared" si="0"/>
        <v>97</v>
      </c>
      <c r="J10" s="5" t="s">
        <v>53</v>
      </c>
      <c r="K10" s="43" t="s">
        <v>16</v>
      </c>
    </row>
    <row r="11" spans="1:11" ht="33.950000000000003" customHeight="1" x14ac:dyDescent="0.25">
      <c r="A11" s="5">
        <v>10</v>
      </c>
      <c r="B11" s="5" t="s">
        <v>54</v>
      </c>
      <c r="C11" s="5" t="s">
        <v>18</v>
      </c>
      <c r="D11" s="5" t="s">
        <v>47</v>
      </c>
      <c r="E11" s="42" t="s">
        <v>55</v>
      </c>
      <c r="F11" s="6">
        <v>96</v>
      </c>
      <c r="G11" s="7">
        <v>98</v>
      </c>
      <c r="H11" s="7">
        <v>91</v>
      </c>
      <c r="I11" s="8">
        <f t="shared" si="0"/>
        <v>96</v>
      </c>
      <c r="J11" s="5" t="s">
        <v>56</v>
      </c>
      <c r="K11" s="43" t="s">
        <v>16</v>
      </c>
    </row>
    <row r="12" spans="1:11" ht="33.950000000000003" customHeight="1" x14ac:dyDescent="0.25">
      <c r="A12" s="9">
        <v>11</v>
      </c>
      <c r="B12" s="9" t="s">
        <v>57</v>
      </c>
      <c r="C12" s="9" t="s">
        <v>37</v>
      </c>
      <c r="D12" s="9" t="s">
        <v>43</v>
      </c>
      <c r="E12" s="42" t="s">
        <v>58</v>
      </c>
      <c r="F12" s="10">
        <v>96</v>
      </c>
      <c r="G12" s="11">
        <v>97</v>
      </c>
      <c r="H12" s="11">
        <v>94</v>
      </c>
      <c r="I12" s="12">
        <f t="shared" si="0"/>
        <v>96</v>
      </c>
      <c r="J12" s="9" t="s">
        <v>59</v>
      </c>
      <c r="K12" s="43" t="s">
        <v>60</v>
      </c>
    </row>
    <row r="13" spans="1:11" ht="33.950000000000003" customHeight="1" x14ac:dyDescent="0.25">
      <c r="A13" s="9">
        <v>12</v>
      </c>
      <c r="B13" s="9" t="s">
        <v>61</v>
      </c>
      <c r="C13" s="9" t="s">
        <v>62</v>
      </c>
      <c r="D13" s="9" t="s">
        <v>63</v>
      </c>
      <c r="E13" s="42" t="s">
        <v>64</v>
      </c>
      <c r="F13" s="10">
        <v>94</v>
      </c>
      <c r="G13" s="11">
        <v>98</v>
      </c>
      <c r="H13" s="11">
        <v>96</v>
      </c>
      <c r="I13" s="12">
        <f t="shared" si="0"/>
        <v>96</v>
      </c>
      <c r="J13" s="9" t="s">
        <v>65</v>
      </c>
      <c r="K13" s="43" t="s">
        <v>16</v>
      </c>
    </row>
    <row r="14" spans="1:11" ht="33.950000000000003" customHeight="1" x14ac:dyDescent="0.25">
      <c r="A14" s="9">
        <v>13</v>
      </c>
      <c r="B14" s="9" t="s">
        <v>66</v>
      </c>
      <c r="C14" s="9" t="s">
        <v>67</v>
      </c>
      <c r="D14" s="9" t="s">
        <v>68</v>
      </c>
      <c r="E14" s="42" t="s">
        <v>69</v>
      </c>
      <c r="F14" s="10">
        <v>99</v>
      </c>
      <c r="G14" s="11">
        <v>99</v>
      </c>
      <c r="H14" s="11">
        <v>70</v>
      </c>
      <c r="I14" s="12">
        <f t="shared" si="0"/>
        <v>95</v>
      </c>
      <c r="J14" s="9" t="s">
        <v>70</v>
      </c>
      <c r="K14" s="43" t="s">
        <v>60</v>
      </c>
    </row>
    <row r="15" spans="1:11" ht="33.950000000000003" customHeight="1" x14ac:dyDescent="0.25">
      <c r="A15" s="9">
        <v>14</v>
      </c>
      <c r="B15" s="9" t="s">
        <v>71</v>
      </c>
      <c r="C15" s="9" t="s">
        <v>62</v>
      </c>
      <c r="D15" s="9" t="s">
        <v>72</v>
      </c>
      <c r="E15" s="42" t="s">
        <v>73</v>
      </c>
      <c r="F15" s="10">
        <v>98</v>
      </c>
      <c r="G15" s="11">
        <v>95</v>
      </c>
      <c r="H15" s="11">
        <v>82</v>
      </c>
      <c r="I15" s="12">
        <f t="shared" si="0"/>
        <v>95</v>
      </c>
      <c r="J15" s="9" t="s">
        <v>74</v>
      </c>
      <c r="K15" s="43" t="s">
        <v>16</v>
      </c>
    </row>
    <row r="16" spans="1:11" ht="33.950000000000003" customHeight="1" x14ac:dyDescent="0.25">
      <c r="A16" s="9">
        <v>15</v>
      </c>
      <c r="B16" s="9" t="s">
        <v>75</v>
      </c>
      <c r="C16" s="9" t="s">
        <v>37</v>
      </c>
      <c r="D16" s="9" t="s">
        <v>76</v>
      </c>
      <c r="E16" s="42" t="s">
        <v>77</v>
      </c>
      <c r="F16" s="10">
        <v>96</v>
      </c>
      <c r="G16" s="11">
        <v>98</v>
      </c>
      <c r="H16" s="11">
        <v>88</v>
      </c>
      <c r="I16" s="12">
        <f t="shared" si="0"/>
        <v>95</v>
      </c>
      <c r="J16" s="9" t="s">
        <v>78</v>
      </c>
      <c r="K16" s="43" t="s">
        <v>60</v>
      </c>
    </row>
    <row r="17" spans="1:11" ht="33.950000000000003" customHeight="1" x14ac:dyDescent="0.25">
      <c r="A17" s="9">
        <v>16</v>
      </c>
      <c r="B17" s="9" t="s">
        <v>79</v>
      </c>
      <c r="C17" s="9" t="s">
        <v>80</v>
      </c>
      <c r="D17" s="9" t="s">
        <v>47</v>
      </c>
      <c r="E17" s="42" t="s">
        <v>81</v>
      </c>
      <c r="F17" s="10">
        <v>96</v>
      </c>
      <c r="G17" s="11">
        <v>96</v>
      </c>
      <c r="H17" s="11">
        <v>91</v>
      </c>
      <c r="I17" s="12">
        <f t="shared" si="0"/>
        <v>95</v>
      </c>
      <c r="J17" s="9" t="s">
        <v>82</v>
      </c>
      <c r="K17" s="43" t="s">
        <v>60</v>
      </c>
    </row>
    <row r="18" spans="1:11" ht="33.950000000000003" customHeight="1" x14ac:dyDescent="0.25">
      <c r="A18" s="9">
        <v>17</v>
      </c>
      <c r="B18" s="9" t="s">
        <v>83</v>
      </c>
      <c r="C18" s="9" t="s">
        <v>84</v>
      </c>
      <c r="D18" s="9" t="s">
        <v>13</v>
      </c>
      <c r="E18" s="42" t="s">
        <v>85</v>
      </c>
      <c r="F18" s="10">
        <v>96</v>
      </c>
      <c r="G18" s="11">
        <v>96</v>
      </c>
      <c r="H18" s="11">
        <v>87</v>
      </c>
      <c r="I18" s="12">
        <f t="shared" si="0"/>
        <v>95</v>
      </c>
      <c r="J18" s="9" t="s">
        <v>86</v>
      </c>
      <c r="K18" s="43" t="s">
        <v>60</v>
      </c>
    </row>
    <row r="19" spans="1:11" ht="33.950000000000003" customHeight="1" x14ac:dyDescent="0.25">
      <c r="A19" s="9">
        <v>18</v>
      </c>
      <c r="B19" s="9" t="s">
        <v>87</v>
      </c>
      <c r="C19" s="9" t="s">
        <v>18</v>
      </c>
      <c r="D19" s="9" t="s">
        <v>88</v>
      </c>
      <c r="E19" s="42" t="s">
        <v>89</v>
      </c>
      <c r="F19" s="10">
        <v>96</v>
      </c>
      <c r="G19" s="11">
        <v>94</v>
      </c>
      <c r="H19" s="11">
        <v>92</v>
      </c>
      <c r="I19" s="12">
        <f t="shared" si="0"/>
        <v>95</v>
      </c>
      <c r="J19" s="9" t="s">
        <v>90</v>
      </c>
      <c r="K19" s="43" t="s">
        <v>16</v>
      </c>
    </row>
    <row r="20" spans="1:11" ht="33.950000000000003" customHeight="1" x14ac:dyDescent="0.25">
      <c r="A20" s="9">
        <v>19</v>
      </c>
      <c r="B20" s="9" t="s">
        <v>91</v>
      </c>
      <c r="C20" s="9" t="s">
        <v>62</v>
      </c>
      <c r="D20" s="9" t="s">
        <v>92</v>
      </c>
      <c r="E20" s="42" t="s">
        <v>93</v>
      </c>
      <c r="F20" s="10">
        <v>94</v>
      </c>
      <c r="G20" s="11">
        <v>97</v>
      </c>
      <c r="H20" s="11">
        <v>94</v>
      </c>
      <c r="I20" s="12">
        <f t="shared" si="0"/>
        <v>95</v>
      </c>
      <c r="J20" s="9" t="s">
        <v>94</v>
      </c>
      <c r="K20" s="43" t="s">
        <v>60</v>
      </c>
    </row>
    <row r="21" spans="1:11" ht="33.950000000000003" customHeight="1" x14ac:dyDescent="0.25">
      <c r="A21" s="9">
        <v>20</v>
      </c>
      <c r="B21" s="9" t="s">
        <v>95</v>
      </c>
      <c r="C21" s="9" t="s">
        <v>96</v>
      </c>
      <c r="D21" s="9" t="s">
        <v>97</v>
      </c>
      <c r="E21" s="42" t="s">
        <v>98</v>
      </c>
      <c r="F21" s="10">
        <v>94</v>
      </c>
      <c r="G21" s="11">
        <v>96</v>
      </c>
      <c r="H21" s="11">
        <v>95</v>
      </c>
      <c r="I21" s="12">
        <f t="shared" si="0"/>
        <v>95</v>
      </c>
      <c r="J21" s="9" t="s">
        <v>99</v>
      </c>
      <c r="K21" s="43" t="s">
        <v>16</v>
      </c>
    </row>
    <row r="22" spans="1:11" ht="33.950000000000003" customHeight="1" x14ac:dyDescent="0.25">
      <c r="A22" s="9">
        <v>21</v>
      </c>
      <c r="B22" s="9" t="s">
        <v>100</v>
      </c>
      <c r="C22" s="9" t="s">
        <v>101</v>
      </c>
      <c r="D22" s="9" t="s">
        <v>43</v>
      </c>
      <c r="E22" s="42" t="s">
        <v>102</v>
      </c>
      <c r="F22" s="10">
        <v>92</v>
      </c>
      <c r="G22" s="11">
        <v>99</v>
      </c>
      <c r="H22" s="11">
        <v>100</v>
      </c>
      <c r="I22" s="12">
        <f t="shared" si="0"/>
        <v>95</v>
      </c>
      <c r="J22" s="9" t="s">
        <v>103</v>
      </c>
      <c r="K22" s="43" t="s">
        <v>60</v>
      </c>
    </row>
    <row r="23" spans="1:11" ht="33.950000000000003" customHeight="1" x14ac:dyDescent="0.25">
      <c r="A23" s="9">
        <v>22</v>
      </c>
      <c r="B23" s="9" t="s">
        <v>104</v>
      </c>
      <c r="C23" s="9" t="s">
        <v>105</v>
      </c>
      <c r="D23" s="9" t="s">
        <v>63</v>
      </c>
      <c r="E23" s="42" t="s">
        <v>106</v>
      </c>
      <c r="F23" s="10">
        <v>97</v>
      </c>
      <c r="G23" s="11">
        <v>94</v>
      </c>
      <c r="H23" s="11">
        <v>82</v>
      </c>
      <c r="I23" s="12">
        <f t="shared" si="0"/>
        <v>94</v>
      </c>
      <c r="J23" s="9" t="s">
        <v>107</v>
      </c>
      <c r="K23" s="43" t="s">
        <v>16</v>
      </c>
    </row>
    <row r="24" spans="1:11" ht="33.950000000000003" customHeight="1" x14ac:dyDescent="0.25">
      <c r="A24" s="9">
        <v>23</v>
      </c>
      <c r="B24" s="9" t="s">
        <v>108</v>
      </c>
      <c r="C24" s="9" t="s">
        <v>96</v>
      </c>
      <c r="D24" s="9" t="s">
        <v>109</v>
      </c>
      <c r="E24" s="42" t="s">
        <v>110</v>
      </c>
      <c r="F24" s="10">
        <v>96</v>
      </c>
      <c r="G24" s="11">
        <v>96</v>
      </c>
      <c r="H24" s="11">
        <v>82</v>
      </c>
      <c r="I24" s="12">
        <f t="shared" si="0"/>
        <v>94</v>
      </c>
      <c r="J24" s="9" t="s">
        <v>111</v>
      </c>
      <c r="K24" s="43" t="s">
        <v>60</v>
      </c>
    </row>
    <row r="25" spans="1:11" ht="33.950000000000003" customHeight="1" x14ac:dyDescent="0.25">
      <c r="A25" s="9">
        <v>24</v>
      </c>
      <c r="B25" s="9" t="s">
        <v>112</v>
      </c>
      <c r="C25" s="9" t="s">
        <v>113</v>
      </c>
      <c r="D25" s="9" t="s">
        <v>114</v>
      </c>
      <c r="E25" s="42" t="s">
        <v>115</v>
      </c>
      <c r="F25" s="10">
        <v>93</v>
      </c>
      <c r="G25" s="11">
        <v>96</v>
      </c>
      <c r="H25" s="11">
        <v>94</v>
      </c>
      <c r="I25" s="12">
        <f t="shared" si="0"/>
        <v>94</v>
      </c>
      <c r="J25" s="9" t="s">
        <v>116</v>
      </c>
      <c r="K25" s="43" t="s">
        <v>16</v>
      </c>
    </row>
    <row r="26" spans="1:11" ht="33.950000000000003" customHeight="1" x14ac:dyDescent="0.25">
      <c r="A26" s="9">
        <v>25</v>
      </c>
      <c r="B26" s="9" t="s">
        <v>117</v>
      </c>
      <c r="C26" s="9" t="s">
        <v>18</v>
      </c>
      <c r="D26" s="9" t="s">
        <v>118</v>
      </c>
      <c r="E26" s="42" t="s">
        <v>119</v>
      </c>
      <c r="F26" s="10">
        <v>96</v>
      </c>
      <c r="G26" s="11">
        <v>92</v>
      </c>
      <c r="H26" s="11">
        <v>82</v>
      </c>
      <c r="I26" s="12">
        <f t="shared" si="0"/>
        <v>93</v>
      </c>
      <c r="J26" s="9" t="s">
        <v>120</v>
      </c>
      <c r="K26" s="43" t="s">
        <v>60</v>
      </c>
    </row>
    <row r="27" spans="1:11" ht="33.950000000000003" customHeight="1" x14ac:dyDescent="0.25">
      <c r="A27" s="13">
        <v>26</v>
      </c>
      <c r="B27" s="13" t="s">
        <v>121</v>
      </c>
      <c r="C27" s="13" t="s">
        <v>122</v>
      </c>
      <c r="D27" s="13" t="s">
        <v>123</v>
      </c>
      <c r="E27" s="42" t="s">
        <v>124</v>
      </c>
      <c r="F27" s="14">
        <v>95</v>
      </c>
      <c r="G27" s="15">
        <v>94</v>
      </c>
      <c r="H27" s="15">
        <v>82</v>
      </c>
      <c r="I27" s="16">
        <f t="shared" si="0"/>
        <v>93</v>
      </c>
      <c r="J27" s="13" t="s">
        <v>125</v>
      </c>
      <c r="K27" s="43" t="s">
        <v>60</v>
      </c>
    </row>
    <row r="28" spans="1:11" ht="33.950000000000003" customHeight="1" x14ac:dyDescent="0.25">
      <c r="A28" s="13">
        <v>27</v>
      </c>
      <c r="B28" s="13" t="s">
        <v>126</v>
      </c>
      <c r="C28" s="13" t="s">
        <v>18</v>
      </c>
      <c r="D28" s="13" t="s">
        <v>63</v>
      </c>
      <c r="E28" s="42" t="s">
        <v>127</v>
      </c>
      <c r="F28" s="14">
        <v>94</v>
      </c>
      <c r="G28" s="15">
        <v>96</v>
      </c>
      <c r="H28" s="15">
        <v>86</v>
      </c>
      <c r="I28" s="16">
        <f t="shared" si="0"/>
        <v>93</v>
      </c>
      <c r="J28" s="13" t="s">
        <v>128</v>
      </c>
      <c r="K28" s="43" t="s">
        <v>60</v>
      </c>
    </row>
    <row r="29" spans="1:11" ht="33.950000000000003" customHeight="1" x14ac:dyDescent="0.25">
      <c r="A29" s="13">
        <v>28</v>
      </c>
      <c r="B29" s="13" t="s">
        <v>129</v>
      </c>
      <c r="C29" s="13" t="s">
        <v>28</v>
      </c>
      <c r="D29" s="13" t="s">
        <v>114</v>
      </c>
      <c r="E29" s="42" t="s">
        <v>130</v>
      </c>
      <c r="F29" s="14">
        <v>94</v>
      </c>
      <c r="G29" s="15">
        <v>93</v>
      </c>
      <c r="H29" s="15">
        <v>89</v>
      </c>
      <c r="I29" s="16">
        <f t="shared" si="0"/>
        <v>93</v>
      </c>
      <c r="J29" s="13" t="s">
        <v>131</v>
      </c>
      <c r="K29" s="43" t="s">
        <v>60</v>
      </c>
    </row>
    <row r="30" spans="1:11" ht="33.950000000000003" customHeight="1" x14ac:dyDescent="0.25">
      <c r="A30" s="13">
        <v>29</v>
      </c>
      <c r="B30" s="13" t="s">
        <v>132</v>
      </c>
      <c r="C30" s="13" t="s">
        <v>62</v>
      </c>
      <c r="D30" s="13" t="s">
        <v>133</v>
      </c>
      <c r="E30" s="42" t="s">
        <v>134</v>
      </c>
      <c r="F30" s="14">
        <v>92</v>
      </c>
      <c r="G30" s="15">
        <v>93</v>
      </c>
      <c r="H30" s="15">
        <v>95</v>
      </c>
      <c r="I30" s="16">
        <f t="shared" si="0"/>
        <v>93</v>
      </c>
      <c r="J30" s="13" t="s">
        <v>135</v>
      </c>
      <c r="K30" s="43" t="s">
        <v>60</v>
      </c>
    </row>
    <row r="31" spans="1:11" ht="33.950000000000003" customHeight="1" x14ac:dyDescent="0.25">
      <c r="A31" s="13">
        <v>30</v>
      </c>
      <c r="B31" s="13" t="s">
        <v>136</v>
      </c>
      <c r="C31" s="13" t="s">
        <v>137</v>
      </c>
      <c r="D31" s="13" t="s">
        <v>47</v>
      </c>
      <c r="E31" s="42" t="s">
        <v>138</v>
      </c>
      <c r="F31" s="14">
        <v>96</v>
      </c>
      <c r="G31" s="15">
        <v>93</v>
      </c>
      <c r="H31" s="15">
        <v>78</v>
      </c>
      <c r="I31" s="16">
        <f t="shared" si="0"/>
        <v>92</v>
      </c>
      <c r="J31" s="13" t="s">
        <v>139</v>
      </c>
      <c r="K31" s="43" t="s">
        <v>16</v>
      </c>
    </row>
    <row r="32" spans="1:11" ht="33.950000000000003" customHeight="1" x14ac:dyDescent="0.25">
      <c r="A32" s="13">
        <v>31</v>
      </c>
      <c r="B32" s="13" t="s">
        <v>140</v>
      </c>
      <c r="C32" s="13" t="s">
        <v>37</v>
      </c>
      <c r="D32" s="13" t="s">
        <v>47</v>
      </c>
      <c r="E32" s="42" t="s">
        <v>141</v>
      </c>
      <c r="F32" s="14">
        <v>96</v>
      </c>
      <c r="G32" s="15">
        <v>92</v>
      </c>
      <c r="H32" s="15">
        <v>80</v>
      </c>
      <c r="I32" s="16">
        <f t="shared" si="0"/>
        <v>92</v>
      </c>
      <c r="J32" s="13" t="s">
        <v>142</v>
      </c>
      <c r="K32" s="43" t="s">
        <v>60</v>
      </c>
    </row>
    <row r="33" spans="1:11" ht="33.950000000000003" customHeight="1" x14ac:dyDescent="0.25">
      <c r="A33" s="13">
        <v>32</v>
      </c>
      <c r="B33" s="13" t="s">
        <v>143</v>
      </c>
      <c r="C33" s="13" t="s">
        <v>62</v>
      </c>
      <c r="D33" s="13" t="s">
        <v>43</v>
      </c>
      <c r="E33" s="42" t="s">
        <v>144</v>
      </c>
      <c r="F33" s="14">
        <v>94</v>
      </c>
      <c r="G33" s="15">
        <v>94</v>
      </c>
      <c r="H33" s="15">
        <v>82</v>
      </c>
      <c r="I33" s="16">
        <f t="shared" si="0"/>
        <v>92</v>
      </c>
      <c r="J33" s="13" t="s">
        <v>145</v>
      </c>
      <c r="K33" s="43" t="s">
        <v>60</v>
      </c>
    </row>
    <row r="34" spans="1:11" ht="33.950000000000003" customHeight="1" x14ac:dyDescent="0.25">
      <c r="A34" s="13">
        <v>33</v>
      </c>
      <c r="B34" s="13" t="s">
        <v>146</v>
      </c>
      <c r="C34" s="13" t="s">
        <v>18</v>
      </c>
      <c r="D34" s="13" t="s">
        <v>147</v>
      </c>
      <c r="E34" s="42" t="s">
        <v>148</v>
      </c>
      <c r="F34" s="14">
        <v>94</v>
      </c>
      <c r="G34" s="15">
        <v>92</v>
      </c>
      <c r="H34" s="15">
        <v>82</v>
      </c>
      <c r="I34" s="16">
        <f t="shared" ref="I34:I65" si="1">ROUND(F34*0.55+G34*0.3+H34*0.15,0)</f>
        <v>92</v>
      </c>
      <c r="J34" s="13" t="s">
        <v>149</v>
      </c>
      <c r="K34" s="43" t="s">
        <v>60</v>
      </c>
    </row>
    <row r="35" spans="1:11" ht="33.950000000000003" customHeight="1" x14ac:dyDescent="0.25">
      <c r="A35" s="13">
        <v>34</v>
      </c>
      <c r="B35" s="13" t="s">
        <v>150</v>
      </c>
      <c r="C35" s="13" t="s">
        <v>62</v>
      </c>
      <c r="D35" s="13" t="s">
        <v>47</v>
      </c>
      <c r="E35" s="42" t="s">
        <v>151</v>
      </c>
      <c r="F35" s="14">
        <v>92</v>
      </c>
      <c r="G35" s="15">
        <v>95</v>
      </c>
      <c r="H35" s="15">
        <v>89</v>
      </c>
      <c r="I35" s="16">
        <f t="shared" si="1"/>
        <v>92</v>
      </c>
      <c r="J35" s="13" t="s">
        <v>152</v>
      </c>
      <c r="K35" s="43" t="s">
        <v>60</v>
      </c>
    </row>
    <row r="36" spans="1:11" ht="33.950000000000003" customHeight="1" x14ac:dyDescent="0.25">
      <c r="A36" s="13">
        <v>35</v>
      </c>
      <c r="B36" s="13" t="s">
        <v>153</v>
      </c>
      <c r="C36" s="13" t="s">
        <v>18</v>
      </c>
      <c r="D36" s="13" t="s">
        <v>154</v>
      </c>
      <c r="E36" s="42" t="s">
        <v>155</v>
      </c>
      <c r="F36" s="14">
        <v>91</v>
      </c>
      <c r="G36" s="15">
        <v>93</v>
      </c>
      <c r="H36" s="15">
        <v>93</v>
      </c>
      <c r="I36" s="16">
        <f t="shared" si="1"/>
        <v>92</v>
      </c>
      <c r="J36" s="13" t="s">
        <v>156</v>
      </c>
      <c r="K36" s="43" t="s">
        <v>60</v>
      </c>
    </row>
    <row r="37" spans="1:11" ht="33.950000000000003" customHeight="1" x14ac:dyDescent="0.25">
      <c r="A37" s="13">
        <v>36</v>
      </c>
      <c r="B37" s="13" t="s">
        <v>157</v>
      </c>
      <c r="C37" s="13" t="s">
        <v>18</v>
      </c>
      <c r="D37" s="13" t="s">
        <v>24</v>
      </c>
      <c r="E37" s="42" t="s">
        <v>158</v>
      </c>
      <c r="F37" s="14">
        <v>100</v>
      </c>
      <c r="G37" s="15">
        <v>91</v>
      </c>
      <c r="H37" s="15">
        <v>58</v>
      </c>
      <c r="I37" s="16">
        <f t="shared" si="1"/>
        <v>91</v>
      </c>
      <c r="J37" s="13" t="s">
        <v>159</v>
      </c>
      <c r="K37" s="43" t="s">
        <v>60</v>
      </c>
    </row>
    <row r="38" spans="1:11" ht="33.950000000000003" customHeight="1" x14ac:dyDescent="0.25">
      <c r="A38" s="13">
        <v>37</v>
      </c>
      <c r="B38" s="13" t="s">
        <v>160</v>
      </c>
      <c r="C38" s="13" t="s">
        <v>18</v>
      </c>
      <c r="D38" s="13" t="s">
        <v>43</v>
      </c>
      <c r="E38" s="42" t="s">
        <v>161</v>
      </c>
      <c r="F38" s="14">
        <v>96</v>
      </c>
      <c r="G38" s="15">
        <v>91</v>
      </c>
      <c r="H38" s="15">
        <v>72</v>
      </c>
      <c r="I38" s="16">
        <f t="shared" si="1"/>
        <v>91</v>
      </c>
      <c r="J38" s="13" t="s">
        <v>162</v>
      </c>
      <c r="K38" s="43" t="s">
        <v>60</v>
      </c>
    </row>
    <row r="39" spans="1:11" ht="33.950000000000003" customHeight="1" x14ac:dyDescent="0.25">
      <c r="A39" s="13">
        <v>38</v>
      </c>
      <c r="B39" s="13" t="s">
        <v>163</v>
      </c>
      <c r="C39" s="13" t="s">
        <v>164</v>
      </c>
      <c r="D39" s="13" t="s">
        <v>165</v>
      </c>
      <c r="E39" s="42" t="s">
        <v>166</v>
      </c>
      <c r="F39" s="14">
        <v>94</v>
      </c>
      <c r="G39" s="15">
        <v>92</v>
      </c>
      <c r="H39" s="15">
        <v>78</v>
      </c>
      <c r="I39" s="16">
        <f t="shared" si="1"/>
        <v>91</v>
      </c>
      <c r="J39" s="13" t="s">
        <v>167</v>
      </c>
      <c r="K39" s="43" t="s">
        <v>60</v>
      </c>
    </row>
    <row r="40" spans="1:11" ht="33.950000000000003" customHeight="1" x14ac:dyDescent="0.25">
      <c r="A40" s="13">
        <v>39</v>
      </c>
      <c r="B40" s="13" t="s">
        <v>168</v>
      </c>
      <c r="C40" s="13" t="s">
        <v>96</v>
      </c>
      <c r="D40" s="13" t="s">
        <v>24</v>
      </c>
      <c r="E40" s="42" t="s">
        <v>169</v>
      </c>
      <c r="F40" s="14">
        <v>94</v>
      </c>
      <c r="G40" s="15">
        <v>92</v>
      </c>
      <c r="H40" s="15">
        <v>78</v>
      </c>
      <c r="I40" s="16">
        <f t="shared" si="1"/>
        <v>91</v>
      </c>
      <c r="J40" s="13" t="s">
        <v>170</v>
      </c>
      <c r="K40" s="43" t="s">
        <v>16</v>
      </c>
    </row>
    <row r="41" spans="1:11" ht="33.950000000000003" customHeight="1" x14ac:dyDescent="0.25">
      <c r="A41" s="13">
        <v>40</v>
      </c>
      <c r="B41" s="13" t="s">
        <v>171</v>
      </c>
      <c r="C41" s="13" t="s">
        <v>172</v>
      </c>
      <c r="D41" s="13" t="s">
        <v>72</v>
      </c>
      <c r="E41" s="42" t="s">
        <v>173</v>
      </c>
      <c r="F41" s="14">
        <v>93</v>
      </c>
      <c r="G41" s="15">
        <v>92</v>
      </c>
      <c r="H41" s="15">
        <v>84</v>
      </c>
      <c r="I41" s="16">
        <f t="shared" si="1"/>
        <v>91</v>
      </c>
      <c r="J41" s="13" t="s">
        <v>174</v>
      </c>
      <c r="K41" s="43" t="s">
        <v>60</v>
      </c>
    </row>
    <row r="42" spans="1:11" ht="33.950000000000003" customHeight="1" x14ac:dyDescent="0.25">
      <c r="A42" s="13">
        <v>41</v>
      </c>
      <c r="B42" s="13" t="s">
        <v>175</v>
      </c>
      <c r="C42" s="13" t="s">
        <v>176</v>
      </c>
      <c r="D42" s="13" t="s">
        <v>88</v>
      </c>
      <c r="E42" s="42" t="s">
        <v>177</v>
      </c>
      <c r="F42" s="14">
        <v>92</v>
      </c>
      <c r="G42" s="15">
        <v>90</v>
      </c>
      <c r="H42" s="15">
        <v>89</v>
      </c>
      <c r="I42" s="16">
        <f t="shared" si="1"/>
        <v>91</v>
      </c>
      <c r="J42" s="13" t="s">
        <v>178</v>
      </c>
      <c r="K42" s="43" t="s">
        <v>16</v>
      </c>
    </row>
    <row r="43" spans="1:11" ht="33.950000000000003" customHeight="1" x14ac:dyDescent="0.25">
      <c r="A43" s="13">
        <v>42</v>
      </c>
      <c r="B43" s="13" t="s">
        <v>179</v>
      </c>
      <c r="C43" s="13" t="s">
        <v>180</v>
      </c>
      <c r="D43" s="13" t="s">
        <v>43</v>
      </c>
      <c r="E43" s="42" t="s">
        <v>181</v>
      </c>
      <c r="F43" s="14">
        <v>91</v>
      </c>
      <c r="G43" s="15">
        <v>95</v>
      </c>
      <c r="H43" s="15">
        <v>84</v>
      </c>
      <c r="I43" s="16">
        <f t="shared" si="1"/>
        <v>91</v>
      </c>
      <c r="J43" s="13" t="s">
        <v>182</v>
      </c>
      <c r="K43" s="43" t="s">
        <v>60</v>
      </c>
    </row>
    <row r="44" spans="1:11" ht="33.950000000000003" customHeight="1" x14ac:dyDescent="0.25">
      <c r="A44" s="13">
        <v>43</v>
      </c>
      <c r="B44" s="13" t="s">
        <v>183</v>
      </c>
      <c r="C44" s="13" t="s">
        <v>62</v>
      </c>
      <c r="D44" s="13" t="s">
        <v>13</v>
      </c>
      <c r="E44" s="42" t="s">
        <v>184</v>
      </c>
      <c r="F44" s="14">
        <v>91</v>
      </c>
      <c r="G44" s="15">
        <v>94</v>
      </c>
      <c r="H44" s="15">
        <v>86</v>
      </c>
      <c r="I44" s="16">
        <f t="shared" si="1"/>
        <v>91</v>
      </c>
      <c r="J44" s="13" t="s">
        <v>185</v>
      </c>
      <c r="K44" s="43" t="s">
        <v>60</v>
      </c>
    </row>
    <row r="45" spans="1:11" ht="33.950000000000003" customHeight="1" x14ac:dyDescent="0.25">
      <c r="A45" s="13">
        <v>44</v>
      </c>
      <c r="B45" s="13" t="s">
        <v>186</v>
      </c>
      <c r="C45" s="13" t="s">
        <v>96</v>
      </c>
      <c r="D45" s="13" t="s">
        <v>76</v>
      </c>
      <c r="E45" s="42" t="s">
        <v>187</v>
      </c>
      <c r="F45" s="14">
        <v>91</v>
      </c>
      <c r="G45" s="15">
        <v>92</v>
      </c>
      <c r="H45" s="15">
        <v>87</v>
      </c>
      <c r="I45" s="16">
        <f t="shared" si="1"/>
        <v>91</v>
      </c>
      <c r="J45" s="13" t="s">
        <v>188</v>
      </c>
      <c r="K45" s="43" t="s">
        <v>60</v>
      </c>
    </row>
    <row r="46" spans="1:11" ht="33.950000000000003" customHeight="1" x14ac:dyDescent="0.25">
      <c r="A46" s="13">
        <v>45</v>
      </c>
      <c r="B46" s="13" t="s">
        <v>189</v>
      </c>
      <c r="C46" s="13" t="s">
        <v>172</v>
      </c>
      <c r="D46" s="13" t="s">
        <v>88</v>
      </c>
      <c r="E46" s="42" t="s">
        <v>190</v>
      </c>
      <c r="F46" s="14">
        <v>96</v>
      </c>
      <c r="G46" s="15">
        <v>90</v>
      </c>
      <c r="H46" s="15">
        <v>70</v>
      </c>
      <c r="I46" s="16">
        <f t="shared" si="1"/>
        <v>90</v>
      </c>
      <c r="J46" s="13" t="s">
        <v>191</v>
      </c>
      <c r="K46" s="43" t="s">
        <v>60</v>
      </c>
    </row>
    <row r="47" spans="1:11" ht="33.950000000000003" customHeight="1" x14ac:dyDescent="0.25">
      <c r="A47" s="13">
        <v>46</v>
      </c>
      <c r="B47" s="13" t="s">
        <v>192</v>
      </c>
      <c r="C47" s="13" t="s">
        <v>23</v>
      </c>
      <c r="D47" s="13" t="s">
        <v>193</v>
      </c>
      <c r="E47" s="42" t="s">
        <v>194</v>
      </c>
      <c r="F47" s="14">
        <v>93</v>
      </c>
      <c r="G47" s="15">
        <v>91</v>
      </c>
      <c r="H47" s="15">
        <v>80</v>
      </c>
      <c r="I47" s="16">
        <f t="shared" si="1"/>
        <v>90</v>
      </c>
      <c r="J47" s="13" t="s">
        <v>195</v>
      </c>
      <c r="K47" s="43" t="s">
        <v>60</v>
      </c>
    </row>
    <row r="48" spans="1:11" ht="33.950000000000003" customHeight="1" x14ac:dyDescent="0.25">
      <c r="A48" s="13">
        <v>47</v>
      </c>
      <c r="B48" s="13" t="s">
        <v>196</v>
      </c>
      <c r="C48" s="13" t="s">
        <v>197</v>
      </c>
      <c r="D48" s="13" t="s">
        <v>198</v>
      </c>
      <c r="E48" s="42" t="s">
        <v>199</v>
      </c>
      <c r="F48" s="14">
        <v>93</v>
      </c>
      <c r="G48" s="15">
        <v>90</v>
      </c>
      <c r="H48" s="15">
        <v>76</v>
      </c>
      <c r="I48" s="16">
        <f t="shared" si="1"/>
        <v>90</v>
      </c>
      <c r="J48" s="13" t="s">
        <v>200</v>
      </c>
      <c r="K48" s="43" t="s">
        <v>60</v>
      </c>
    </row>
    <row r="49" spans="1:11" ht="33.950000000000003" customHeight="1" x14ac:dyDescent="0.25">
      <c r="A49" s="13">
        <v>48</v>
      </c>
      <c r="B49" s="13" t="s">
        <v>201</v>
      </c>
      <c r="C49" s="13" t="s">
        <v>18</v>
      </c>
      <c r="D49" s="13" t="s">
        <v>202</v>
      </c>
      <c r="E49" s="42" t="s">
        <v>203</v>
      </c>
      <c r="F49" s="14">
        <v>93</v>
      </c>
      <c r="G49" s="15">
        <v>89</v>
      </c>
      <c r="H49" s="15">
        <v>80</v>
      </c>
      <c r="I49" s="16">
        <f t="shared" si="1"/>
        <v>90</v>
      </c>
      <c r="J49" s="13" t="s">
        <v>204</v>
      </c>
      <c r="K49" s="43" t="s">
        <v>60</v>
      </c>
    </row>
    <row r="50" spans="1:11" ht="33.950000000000003" customHeight="1" x14ac:dyDescent="0.25">
      <c r="A50" s="13">
        <v>49</v>
      </c>
      <c r="B50" s="13" t="s">
        <v>205</v>
      </c>
      <c r="C50" s="13" t="s">
        <v>18</v>
      </c>
      <c r="D50" s="13" t="s">
        <v>206</v>
      </c>
      <c r="E50" s="42" t="s">
        <v>207</v>
      </c>
      <c r="F50" s="14">
        <v>91</v>
      </c>
      <c r="G50" s="15">
        <v>92</v>
      </c>
      <c r="H50" s="15">
        <v>81</v>
      </c>
      <c r="I50" s="16">
        <f t="shared" si="1"/>
        <v>90</v>
      </c>
      <c r="J50" s="13" t="s">
        <v>208</v>
      </c>
      <c r="K50" s="43" t="s">
        <v>60</v>
      </c>
    </row>
    <row r="51" spans="1:11" ht="33.950000000000003" customHeight="1" x14ac:dyDescent="0.25">
      <c r="A51" s="13">
        <v>50</v>
      </c>
      <c r="B51" s="13" t="s">
        <v>209</v>
      </c>
      <c r="C51" s="13" t="s">
        <v>18</v>
      </c>
      <c r="D51" s="13" t="s">
        <v>210</v>
      </c>
      <c r="E51" s="42" t="s">
        <v>211</v>
      </c>
      <c r="F51" s="14">
        <v>91</v>
      </c>
      <c r="G51" s="15">
        <v>91</v>
      </c>
      <c r="H51" s="15">
        <v>87</v>
      </c>
      <c r="I51" s="16">
        <f t="shared" si="1"/>
        <v>90</v>
      </c>
      <c r="J51" s="13" t="s">
        <v>212</v>
      </c>
      <c r="K51" s="43" t="s">
        <v>60</v>
      </c>
    </row>
    <row r="52" spans="1:11" ht="33.950000000000003" customHeight="1" x14ac:dyDescent="0.25">
      <c r="A52" s="17">
        <v>51</v>
      </c>
      <c r="B52" s="17" t="s">
        <v>213</v>
      </c>
      <c r="C52" s="17" t="s">
        <v>18</v>
      </c>
      <c r="D52" s="17" t="s">
        <v>214</v>
      </c>
      <c r="E52" s="42" t="s">
        <v>215</v>
      </c>
      <c r="F52" s="18">
        <v>91</v>
      </c>
      <c r="G52" s="19">
        <v>91</v>
      </c>
      <c r="H52" s="19">
        <v>86</v>
      </c>
      <c r="I52" s="20">
        <f t="shared" si="1"/>
        <v>90</v>
      </c>
      <c r="J52" s="17" t="s">
        <v>216</v>
      </c>
      <c r="K52" s="43" t="s">
        <v>60</v>
      </c>
    </row>
    <row r="53" spans="1:11" ht="33.950000000000003" customHeight="1" x14ac:dyDescent="0.25">
      <c r="A53" s="21">
        <v>52</v>
      </c>
      <c r="B53" s="21" t="s">
        <v>217</v>
      </c>
      <c r="C53" s="21" t="s">
        <v>96</v>
      </c>
      <c r="D53" s="21" t="s">
        <v>218</v>
      </c>
      <c r="E53" s="42" t="s">
        <v>219</v>
      </c>
      <c r="F53" s="22">
        <v>91</v>
      </c>
      <c r="G53" s="23">
        <v>91</v>
      </c>
      <c r="H53" s="23">
        <v>82</v>
      </c>
      <c r="I53" s="24">
        <f t="shared" si="1"/>
        <v>90</v>
      </c>
      <c r="J53" s="21" t="s">
        <v>220</v>
      </c>
      <c r="K53" s="43" t="s">
        <v>60</v>
      </c>
    </row>
    <row r="54" spans="1:11" ht="33.950000000000003" customHeight="1" x14ac:dyDescent="0.25">
      <c r="A54" s="17">
        <v>53</v>
      </c>
      <c r="B54" s="17" t="s">
        <v>221</v>
      </c>
      <c r="C54" s="17" t="s">
        <v>62</v>
      </c>
      <c r="D54" s="17" t="s">
        <v>24</v>
      </c>
      <c r="E54" s="42" t="s">
        <v>222</v>
      </c>
      <c r="F54" s="18">
        <v>88</v>
      </c>
      <c r="G54" s="19">
        <v>92</v>
      </c>
      <c r="H54" s="19">
        <v>96</v>
      </c>
      <c r="I54" s="20">
        <f t="shared" si="1"/>
        <v>90</v>
      </c>
      <c r="J54" s="17" t="s">
        <v>223</v>
      </c>
      <c r="K54" s="43" t="s">
        <v>60</v>
      </c>
    </row>
    <row r="55" spans="1:11" ht="33.950000000000003" customHeight="1" x14ac:dyDescent="0.25">
      <c r="A55" s="21">
        <v>54</v>
      </c>
      <c r="B55" s="21" t="s">
        <v>224</v>
      </c>
      <c r="C55" s="21" t="s">
        <v>225</v>
      </c>
      <c r="D55" s="21" t="s">
        <v>43</v>
      </c>
      <c r="E55" s="42" t="s">
        <v>226</v>
      </c>
      <c r="F55" s="22">
        <v>87</v>
      </c>
      <c r="G55" s="23">
        <v>94</v>
      </c>
      <c r="H55" s="23">
        <v>94</v>
      </c>
      <c r="I55" s="24">
        <f t="shared" si="1"/>
        <v>90</v>
      </c>
      <c r="J55" s="21" t="s">
        <v>227</v>
      </c>
      <c r="K55" s="43" t="s">
        <v>60</v>
      </c>
    </row>
    <row r="56" spans="1:11" ht="33.950000000000003" customHeight="1" x14ac:dyDescent="0.25">
      <c r="A56" s="17">
        <v>55</v>
      </c>
      <c r="B56" s="17" t="s">
        <v>228</v>
      </c>
      <c r="C56" s="17" t="s">
        <v>37</v>
      </c>
      <c r="D56" s="17" t="s">
        <v>63</v>
      </c>
      <c r="E56" s="42" t="s">
        <v>229</v>
      </c>
      <c r="F56" s="18">
        <v>92</v>
      </c>
      <c r="G56" s="19">
        <v>90</v>
      </c>
      <c r="H56" s="19">
        <v>76</v>
      </c>
      <c r="I56" s="20">
        <f t="shared" si="1"/>
        <v>89</v>
      </c>
      <c r="J56" s="17" t="s">
        <v>230</v>
      </c>
      <c r="K56" s="43" t="s">
        <v>60</v>
      </c>
    </row>
    <row r="57" spans="1:11" ht="33.950000000000003" customHeight="1" x14ac:dyDescent="0.25">
      <c r="A57" s="21">
        <v>56</v>
      </c>
      <c r="B57" s="21" t="s">
        <v>231</v>
      </c>
      <c r="C57" s="21" t="s">
        <v>96</v>
      </c>
      <c r="D57" s="21" t="s">
        <v>43</v>
      </c>
      <c r="E57" s="42" t="s">
        <v>232</v>
      </c>
      <c r="F57" s="22">
        <v>90</v>
      </c>
      <c r="G57" s="23">
        <v>89</v>
      </c>
      <c r="H57" s="23">
        <v>88</v>
      </c>
      <c r="I57" s="24">
        <f t="shared" si="1"/>
        <v>89</v>
      </c>
      <c r="J57" s="21" t="s">
        <v>233</v>
      </c>
      <c r="K57" s="43" t="s">
        <v>60</v>
      </c>
    </row>
    <row r="58" spans="1:11" ht="33.950000000000003" customHeight="1" x14ac:dyDescent="0.25">
      <c r="A58" s="17">
        <v>57</v>
      </c>
      <c r="B58" s="17" t="s">
        <v>234</v>
      </c>
      <c r="C58" s="17" t="s">
        <v>137</v>
      </c>
      <c r="D58" s="17" t="s">
        <v>63</v>
      </c>
      <c r="E58" s="42" t="s">
        <v>235</v>
      </c>
      <c r="F58" s="18">
        <v>92</v>
      </c>
      <c r="G58" s="19">
        <v>91</v>
      </c>
      <c r="H58" s="19">
        <v>70</v>
      </c>
      <c r="I58" s="20">
        <f t="shared" si="1"/>
        <v>88</v>
      </c>
      <c r="J58" s="17" t="s">
        <v>236</v>
      </c>
      <c r="K58" s="43" t="s">
        <v>60</v>
      </c>
    </row>
    <row r="59" spans="1:11" ht="33.950000000000003" customHeight="1" x14ac:dyDescent="0.25">
      <c r="A59" s="21">
        <v>58</v>
      </c>
      <c r="B59" s="21" t="s">
        <v>237</v>
      </c>
      <c r="C59" s="21" t="s">
        <v>238</v>
      </c>
      <c r="D59" s="21" t="s">
        <v>13</v>
      </c>
      <c r="E59" s="42" t="s">
        <v>239</v>
      </c>
      <c r="F59" s="22">
        <v>92</v>
      </c>
      <c r="G59" s="23">
        <v>87</v>
      </c>
      <c r="H59" s="23">
        <v>74</v>
      </c>
      <c r="I59" s="24">
        <f t="shared" si="1"/>
        <v>88</v>
      </c>
      <c r="J59" s="21" t="s">
        <v>240</v>
      </c>
      <c r="K59" s="43" t="s">
        <v>60</v>
      </c>
    </row>
    <row r="60" spans="1:11" ht="33.950000000000003" customHeight="1" x14ac:dyDescent="0.25">
      <c r="A60" s="17">
        <v>59</v>
      </c>
      <c r="B60" s="17" t="s">
        <v>241</v>
      </c>
      <c r="C60" s="17" t="s">
        <v>242</v>
      </c>
      <c r="D60" s="17" t="s">
        <v>243</v>
      </c>
      <c r="E60" s="42" t="s">
        <v>244</v>
      </c>
      <c r="F60" s="18">
        <v>91</v>
      </c>
      <c r="G60" s="19">
        <v>88</v>
      </c>
      <c r="H60" s="19">
        <v>78</v>
      </c>
      <c r="I60" s="20">
        <f t="shared" si="1"/>
        <v>88</v>
      </c>
      <c r="J60" s="17" t="s">
        <v>245</v>
      </c>
      <c r="K60" s="43" t="s">
        <v>60</v>
      </c>
    </row>
    <row r="61" spans="1:11" ht="33.950000000000003" customHeight="1" x14ac:dyDescent="0.25">
      <c r="A61" s="21">
        <v>60</v>
      </c>
      <c r="B61" s="21" t="s">
        <v>246</v>
      </c>
      <c r="C61" s="21" t="s">
        <v>18</v>
      </c>
      <c r="D61" s="21" t="s">
        <v>247</v>
      </c>
      <c r="E61" s="42" t="s">
        <v>248</v>
      </c>
      <c r="F61" s="22">
        <v>91</v>
      </c>
      <c r="G61" s="23">
        <v>87</v>
      </c>
      <c r="H61" s="23">
        <v>78</v>
      </c>
      <c r="I61" s="24">
        <f t="shared" si="1"/>
        <v>88</v>
      </c>
      <c r="J61" s="21" t="s">
        <v>249</v>
      </c>
      <c r="K61" s="43" t="s">
        <v>60</v>
      </c>
    </row>
    <row r="62" spans="1:11" ht="33.950000000000003" customHeight="1" x14ac:dyDescent="0.25">
      <c r="A62" s="17">
        <v>61</v>
      </c>
      <c r="B62" s="17" t="s">
        <v>250</v>
      </c>
      <c r="C62" s="17" t="s">
        <v>238</v>
      </c>
      <c r="D62" s="17" t="s">
        <v>43</v>
      </c>
      <c r="E62" s="42" t="s">
        <v>251</v>
      </c>
      <c r="F62" s="18">
        <v>91</v>
      </c>
      <c r="G62" s="19">
        <v>87</v>
      </c>
      <c r="H62" s="19">
        <v>78</v>
      </c>
      <c r="I62" s="20">
        <f t="shared" si="1"/>
        <v>88</v>
      </c>
      <c r="J62" s="17" t="s">
        <v>252</v>
      </c>
      <c r="K62" s="43" t="s">
        <v>60</v>
      </c>
    </row>
    <row r="63" spans="1:11" ht="33.950000000000003" customHeight="1" x14ac:dyDescent="0.25">
      <c r="A63" s="21">
        <v>62</v>
      </c>
      <c r="B63" s="21" t="s">
        <v>253</v>
      </c>
      <c r="C63" s="21" t="s">
        <v>18</v>
      </c>
      <c r="D63" s="21" t="s">
        <v>254</v>
      </c>
      <c r="E63" s="42" t="s">
        <v>255</v>
      </c>
      <c r="F63" s="22">
        <v>91</v>
      </c>
      <c r="G63" s="23">
        <v>87</v>
      </c>
      <c r="H63" s="23">
        <v>77</v>
      </c>
      <c r="I63" s="24">
        <f t="shared" si="1"/>
        <v>88</v>
      </c>
      <c r="J63" s="21" t="s">
        <v>256</v>
      </c>
      <c r="K63" s="43" t="s">
        <v>60</v>
      </c>
    </row>
    <row r="64" spans="1:11" ht="33.950000000000003" customHeight="1" x14ac:dyDescent="0.25">
      <c r="A64" s="17">
        <v>63</v>
      </c>
      <c r="B64" s="17" t="s">
        <v>257</v>
      </c>
      <c r="C64" s="17" t="s">
        <v>258</v>
      </c>
      <c r="D64" s="17" t="s">
        <v>47</v>
      </c>
      <c r="E64" s="42" t="s">
        <v>259</v>
      </c>
      <c r="F64" s="18">
        <v>90</v>
      </c>
      <c r="G64" s="19">
        <v>88</v>
      </c>
      <c r="H64" s="19">
        <v>79</v>
      </c>
      <c r="I64" s="20">
        <f t="shared" si="1"/>
        <v>88</v>
      </c>
      <c r="J64" s="17" t="s">
        <v>260</v>
      </c>
      <c r="K64" s="43" t="s">
        <v>60</v>
      </c>
    </row>
    <row r="65" spans="1:11" ht="33.950000000000003" customHeight="1" x14ac:dyDescent="0.25">
      <c r="A65" s="21">
        <v>64</v>
      </c>
      <c r="B65" s="21" t="s">
        <v>261</v>
      </c>
      <c r="C65" s="21" t="s">
        <v>262</v>
      </c>
      <c r="D65" s="21" t="s">
        <v>24</v>
      </c>
      <c r="E65" s="42" t="s">
        <v>263</v>
      </c>
      <c r="F65" s="22">
        <v>90</v>
      </c>
      <c r="G65" s="23">
        <v>88</v>
      </c>
      <c r="H65" s="23">
        <v>78</v>
      </c>
      <c r="I65" s="24">
        <f t="shared" si="1"/>
        <v>88</v>
      </c>
      <c r="J65" s="21" t="s">
        <v>264</v>
      </c>
      <c r="K65" s="43" t="s">
        <v>16</v>
      </c>
    </row>
    <row r="66" spans="1:11" ht="33.950000000000003" customHeight="1" x14ac:dyDescent="0.25">
      <c r="A66" s="17">
        <v>65</v>
      </c>
      <c r="B66" s="17" t="s">
        <v>265</v>
      </c>
      <c r="C66" s="17" t="s">
        <v>96</v>
      </c>
      <c r="D66" s="17" t="s">
        <v>266</v>
      </c>
      <c r="E66" s="42" t="s">
        <v>267</v>
      </c>
      <c r="F66" s="18">
        <v>89</v>
      </c>
      <c r="G66" s="19">
        <v>88</v>
      </c>
      <c r="H66" s="19">
        <v>82</v>
      </c>
      <c r="I66" s="20">
        <f t="shared" ref="I66:I97" si="2">ROUND(F66*0.55+G66*0.3+H66*0.15,0)</f>
        <v>88</v>
      </c>
      <c r="J66" s="17" t="s">
        <v>268</v>
      </c>
      <c r="K66" s="43" t="s">
        <v>60</v>
      </c>
    </row>
    <row r="67" spans="1:11" ht="33.950000000000003" customHeight="1" x14ac:dyDescent="0.25">
      <c r="A67" s="21">
        <v>66</v>
      </c>
      <c r="B67" s="21" t="s">
        <v>269</v>
      </c>
      <c r="C67" s="21" t="s">
        <v>270</v>
      </c>
      <c r="D67" s="21" t="s">
        <v>271</v>
      </c>
      <c r="E67" s="42" t="s">
        <v>272</v>
      </c>
      <c r="F67" s="22">
        <v>89</v>
      </c>
      <c r="G67" s="23">
        <v>87</v>
      </c>
      <c r="H67" s="23">
        <v>83</v>
      </c>
      <c r="I67" s="24">
        <f t="shared" si="2"/>
        <v>88</v>
      </c>
      <c r="J67" s="21" t="s">
        <v>273</v>
      </c>
      <c r="K67" s="43" t="s">
        <v>60</v>
      </c>
    </row>
    <row r="68" spans="1:11" ht="33.950000000000003" customHeight="1" x14ac:dyDescent="0.25">
      <c r="A68" s="17">
        <v>67</v>
      </c>
      <c r="B68" s="17" t="s">
        <v>274</v>
      </c>
      <c r="C68" s="17" t="s">
        <v>225</v>
      </c>
      <c r="D68" s="17" t="s">
        <v>275</v>
      </c>
      <c r="E68" s="42" t="s">
        <v>276</v>
      </c>
      <c r="F68" s="18">
        <v>88</v>
      </c>
      <c r="G68" s="19">
        <v>88</v>
      </c>
      <c r="H68" s="19">
        <v>89</v>
      </c>
      <c r="I68" s="20">
        <f t="shared" si="2"/>
        <v>88</v>
      </c>
      <c r="J68" s="17" t="s">
        <v>277</v>
      </c>
      <c r="K68" s="43" t="s">
        <v>16</v>
      </c>
    </row>
    <row r="69" spans="1:11" ht="33.950000000000003" customHeight="1" x14ac:dyDescent="0.25">
      <c r="A69" s="21">
        <v>68</v>
      </c>
      <c r="B69" s="21" t="s">
        <v>278</v>
      </c>
      <c r="C69" s="21" t="s">
        <v>176</v>
      </c>
      <c r="D69" s="21" t="s">
        <v>43</v>
      </c>
      <c r="E69" s="42" t="s">
        <v>279</v>
      </c>
      <c r="F69" s="22">
        <v>88</v>
      </c>
      <c r="G69" s="23">
        <v>88</v>
      </c>
      <c r="H69" s="23">
        <v>88</v>
      </c>
      <c r="I69" s="24">
        <f t="shared" si="2"/>
        <v>88</v>
      </c>
      <c r="J69" s="21" t="s">
        <v>280</v>
      </c>
      <c r="K69" s="43" t="s">
        <v>60</v>
      </c>
    </row>
    <row r="70" spans="1:11" ht="33.950000000000003" customHeight="1" x14ac:dyDescent="0.25">
      <c r="A70" s="17">
        <v>69</v>
      </c>
      <c r="B70" s="17" t="s">
        <v>281</v>
      </c>
      <c r="C70" s="17" t="s">
        <v>96</v>
      </c>
      <c r="D70" s="17" t="s">
        <v>282</v>
      </c>
      <c r="E70" s="42" t="s">
        <v>283</v>
      </c>
      <c r="F70" s="18">
        <v>88</v>
      </c>
      <c r="G70" s="19">
        <v>88</v>
      </c>
      <c r="H70" s="19">
        <v>87</v>
      </c>
      <c r="I70" s="20">
        <f t="shared" si="2"/>
        <v>88</v>
      </c>
      <c r="J70" s="17" t="s">
        <v>284</v>
      </c>
      <c r="K70" s="43" t="s">
        <v>60</v>
      </c>
    </row>
    <row r="71" spans="1:11" ht="33.950000000000003" customHeight="1" x14ac:dyDescent="0.25">
      <c r="A71" s="21">
        <v>70</v>
      </c>
      <c r="B71" s="21" t="s">
        <v>285</v>
      </c>
      <c r="C71" s="21" t="s">
        <v>286</v>
      </c>
      <c r="D71" s="21" t="s">
        <v>287</v>
      </c>
      <c r="E71" s="42" t="s">
        <v>288</v>
      </c>
      <c r="F71" s="22">
        <v>88</v>
      </c>
      <c r="G71" s="23">
        <v>87</v>
      </c>
      <c r="H71" s="23">
        <v>89</v>
      </c>
      <c r="I71" s="24">
        <f t="shared" si="2"/>
        <v>88</v>
      </c>
      <c r="J71" s="21" t="s">
        <v>289</v>
      </c>
      <c r="K71" s="43" t="s">
        <v>16</v>
      </c>
    </row>
    <row r="72" spans="1:11" ht="33.950000000000003" customHeight="1" x14ac:dyDescent="0.25">
      <c r="A72" s="17">
        <v>71</v>
      </c>
      <c r="B72" s="17" t="s">
        <v>290</v>
      </c>
      <c r="C72" s="17" t="s">
        <v>18</v>
      </c>
      <c r="D72" s="17" t="s">
        <v>291</v>
      </c>
      <c r="E72" s="42" t="s">
        <v>292</v>
      </c>
      <c r="F72" s="18">
        <v>87</v>
      </c>
      <c r="G72" s="19">
        <v>88</v>
      </c>
      <c r="H72" s="19">
        <v>94</v>
      </c>
      <c r="I72" s="20">
        <f t="shared" si="2"/>
        <v>88</v>
      </c>
      <c r="J72" s="17" t="s">
        <v>293</v>
      </c>
      <c r="K72" s="43" t="s">
        <v>60</v>
      </c>
    </row>
    <row r="73" spans="1:11" ht="33.950000000000003" customHeight="1" x14ac:dyDescent="0.25">
      <c r="A73" s="21">
        <v>72</v>
      </c>
      <c r="B73" s="21" t="s">
        <v>294</v>
      </c>
      <c r="C73" s="21" t="s">
        <v>197</v>
      </c>
      <c r="D73" s="21" t="s">
        <v>295</v>
      </c>
      <c r="E73" s="42" t="s">
        <v>296</v>
      </c>
      <c r="F73" s="22">
        <v>87</v>
      </c>
      <c r="G73" s="23">
        <v>88</v>
      </c>
      <c r="H73" s="23">
        <v>90</v>
      </c>
      <c r="I73" s="24">
        <f t="shared" si="2"/>
        <v>88</v>
      </c>
      <c r="J73" s="21" t="s">
        <v>297</v>
      </c>
      <c r="K73" s="43" t="s">
        <v>60</v>
      </c>
    </row>
    <row r="74" spans="1:11" ht="33.950000000000003" customHeight="1" x14ac:dyDescent="0.25">
      <c r="A74" s="17">
        <v>73</v>
      </c>
      <c r="B74" s="17" t="s">
        <v>298</v>
      </c>
      <c r="C74" s="17" t="s">
        <v>299</v>
      </c>
      <c r="D74" s="17" t="s">
        <v>300</v>
      </c>
      <c r="E74" s="42" t="s">
        <v>301</v>
      </c>
      <c r="F74" s="18">
        <v>85</v>
      </c>
      <c r="G74" s="19">
        <v>88</v>
      </c>
      <c r="H74" s="19">
        <v>98</v>
      </c>
      <c r="I74" s="20">
        <f t="shared" si="2"/>
        <v>88</v>
      </c>
      <c r="J74" s="17" t="s">
        <v>302</v>
      </c>
      <c r="K74" s="43" t="s">
        <v>60</v>
      </c>
    </row>
    <row r="75" spans="1:11" ht="33.950000000000003" customHeight="1" x14ac:dyDescent="0.25">
      <c r="A75" s="21">
        <v>74</v>
      </c>
      <c r="B75" s="21" t="s">
        <v>303</v>
      </c>
      <c r="C75" s="21" t="s">
        <v>304</v>
      </c>
      <c r="D75" s="21" t="s">
        <v>305</v>
      </c>
      <c r="E75" s="42" t="s">
        <v>306</v>
      </c>
      <c r="F75" s="22">
        <v>84</v>
      </c>
      <c r="G75" s="23">
        <v>88</v>
      </c>
      <c r="H75" s="23">
        <v>100</v>
      </c>
      <c r="I75" s="24">
        <f t="shared" si="2"/>
        <v>88</v>
      </c>
      <c r="J75" s="21" t="s">
        <v>307</v>
      </c>
      <c r="K75" s="43" t="s">
        <v>60</v>
      </c>
    </row>
    <row r="76" spans="1:11" ht="33.950000000000003" customHeight="1" x14ac:dyDescent="0.25">
      <c r="A76" s="17">
        <v>75</v>
      </c>
      <c r="B76" s="17" t="s">
        <v>308</v>
      </c>
      <c r="C76" s="17" t="s">
        <v>309</v>
      </c>
      <c r="D76" s="17" t="s">
        <v>310</v>
      </c>
      <c r="E76" s="42" t="s">
        <v>311</v>
      </c>
      <c r="F76" s="18">
        <v>84</v>
      </c>
      <c r="G76" s="19">
        <v>88</v>
      </c>
      <c r="H76" s="19">
        <v>100</v>
      </c>
      <c r="I76" s="20">
        <f t="shared" si="2"/>
        <v>88</v>
      </c>
      <c r="J76" s="17" t="s">
        <v>312</v>
      </c>
      <c r="K76" s="43" t="s">
        <v>16</v>
      </c>
    </row>
    <row r="77" spans="1:11" ht="33.950000000000003" customHeight="1" x14ac:dyDescent="0.25">
      <c r="A77" s="21">
        <v>76</v>
      </c>
      <c r="B77" s="21" t="s">
        <v>313</v>
      </c>
      <c r="C77" s="21" t="s">
        <v>18</v>
      </c>
      <c r="D77" s="21" t="s">
        <v>314</v>
      </c>
      <c r="E77" s="42" t="s">
        <v>315</v>
      </c>
      <c r="F77" s="22">
        <v>93</v>
      </c>
      <c r="G77" s="23">
        <v>87</v>
      </c>
      <c r="H77" s="23">
        <v>68</v>
      </c>
      <c r="I77" s="24">
        <f t="shared" si="2"/>
        <v>87</v>
      </c>
      <c r="J77" s="21" t="s">
        <v>316</v>
      </c>
      <c r="K77" s="43" t="s">
        <v>60</v>
      </c>
    </row>
    <row r="78" spans="1:11" ht="33.950000000000003" customHeight="1" x14ac:dyDescent="0.25">
      <c r="A78" s="17">
        <v>77</v>
      </c>
      <c r="B78" s="17" t="s">
        <v>317</v>
      </c>
      <c r="C78" s="17" t="s">
        <v>176</v>
      </c>
      <c r="D78" s="17" t="s">
        <v>118</v>
      </c>
      <c r="E78" s="42" t="s">
        <v>318</v>
      </c>
      <c r="F78" s="18">
        <v>92</v>
      </c>
      <c r="G78" s="19">
        <v>86</v>
      </c>
      <c r="H78" s="19">
        <v>72</v>
      </c>
      <c r="I78" s="20">
        <f t="shared" si="2"/>
        <v>87</v>
      </c>
      <c r="J78" s="17" t="s">
        <v>319</v>
      </c>
      <c r="K78" s="43" t="s">
        <v>60</v>
      </c>
    </row>
    <row r="79" spans="1:11" ht="33.950000000000003" customHeight="1" x14ac:dyDescent="0.25">
      <c r="A79" s="21">
        <v>78</v>
      </c>
      <c r="B79" s="21" t="s">
        <v>320</v>
      </c>
      <c r="C79" s="21" t="s">
        <v>105</v>
      </c>
      <c r="D79" s="21" t="s">
        <v>321</v>
      </c>
      <c r="E79" s="42" t="s">
        <v>322</v>
      </c>
      <c r="F79" s="22">
        <v>91</v>
      </c>
      <c r="G79" s="23">
        <v>88</v>
      </c>
      <c r="H79" s="23">
        <v>70</v>
      </c>
      <c r="I79" s="24">
        <f t="shared" si="2"/>
        <v>87</v>
      </c>
      <c r="J79" s="21" t="s">
        <v>323</v>
      </c>
      <c r="K79" s="43" t="s">
        <v>60</v>
      </c>
    </row>
    <row r="80" spans="1:11" ht="33.950000000000003" customHeight="1" x14ac:dyDescent="0.25">
      <c r="A80" s="17">
        <v>79</v>
      </c>
      <c r="B80" s="17" t="s">
        <v>324</v>
      </c>
      <c r="C80" s="17" t="s">
        <v>37</v>
      </c>
      <c r="D80" s="17" t="s">
        <v>88</v>
      </c>
      <c r="E80" s="42" t="s">
        <v>325</v>
      </c>
      <c r="F80" s="18">
        <v>91</v>
      </c>
      <c r="G80" s="19">
        <v>87</v>
      </c>
      <c r="H80" s="19">
        <v>72</v>
      </c>
      <c r="I80" s="20">
        <f t="shared" si="2"/>
        <v>87</v>
      </c>
      <c r="J80" s="17" t="s">
        <v>326</v>
      </c>
      <c r="K80" s="43" t="s">
        <v>60</v>
      </c>
    </row>
    <row r="81" spans="1:11" ht="33.950000000000003" customHeight="1" x14ac:dyDescent="0.25">
      <c r="A81" s="21">
        <v>80</v>
      </c>
      <c r="B81" s="21" t="s">
        <v>327</v>
      </c>
      <c r="C81" s="21" t="s">
        <v>238</v>
      </c>
      <c r="D81" s="21" t="s">
        <v>328</v>
      </c>
      <c r="E81" s="42" t="s">
        <v>329</v>
      </c>
      <c r="F81" s="22">
        <v>91</v>
      </c>
      <c r="G81" s="23">
        <v>87</v>
      </c>
      <c r="H81" s="23">
        <v>70</v>
      </c>
      <c r="I81" s="24">
        <f t="shared" si="2"/>
        <v>87</v>
      </c>
      <c r="J81" s="21" t="s">
        <v>330</v>
      </c>
      <c r="K81" s="43" t="s">
        <v>60</v>
      </c>
    </row>
    <row r="82" spans="1:11" ht="33.950000000000003" customHeight="1" x14ac:dyDescent="0.25">
      <c r="A82" s="17">
        <v>81</v>
      </c>
      <c r="B82" s="17" t="s">
        <v>331</v>
      </c>
      <c r="C82" s="17" t="s">
        <v>37</v>
      </c>
      <c r="D82" s="17" t="s">
        <v>24</v>
      </c>
      <c r="E82" s="42" t="s">
        <v>332</v>
      </c>
      <c r="F82" s="18">
        <v>90</v>
      </c>
      <c r="G82" s="19">
        <v>88</v>
      </c>
      <c r="H82" s="19">
        <v>75</v>
      </c>
      <c r="I82" s="20">
        <f t="shared" si="2"/>
        <v>87</v>
      </c>
      <c r="J82" s="17" t="s">
        <v>333</v>
      </c>
      <c r="K82" s="43" t="s">
        <v>60</v>
      </c>
    </row>
    <row r="83" spans="1:11" ht="33.950000000000003" customHeight="1" x14ac:dyDescent="0.25">
      <c r="A83" s="21">
        <v>82</v>
      </c>
      <c r="B83" s="21" t="s">
        <v>334</v>
      </c>
      <c r="C83" s="21" t="s">
        <v>62</v>
      </c>
      <c r="D83" s="21" t="s">
        <v>63</v>
      </c>
      <c r="E83" s="42" t="s">
        <v>335</v>
      </c>
      <c r="F83" s="22">
        <v>90</v>
      </c>
      <c r="G83" s="23">
        <v>87</v>
      </c>
      <c r="H83" s="23">
        <v>74</v>
      </c>
      <c r="I83" s="24">
        <f t="shared" si="2"/>
        <v>87</v>
      </c>
      <c r="J83" s="21" t="s">
        <v>336</v>
      </c>
      <c r="K83" s="43" t="s">
        <v>60</v>
      </c>
    </row>
    <row r="84" spans="1:11" ht="33.950000000000003" customHeight="1" x14ac:dyDescent="0.25">
      <c r="A84" s="17">
        <v>83</v>
      </c>
      <c r="B84" s="17" t="s">
        <v>337</v>
      </c>
      <c r="C84" s="17" t="s">
        <v>338</v>
      </c>
      <c r="D84" s="17" t="s">
        <v>266</v>
      </c>
      <c r="E84" s="42" t="s">
        <v>339</v>
      </c>
      <c r="F84" s="18">
        <v>90</v>
      </c>
      <c r="G84" s="19">
        <v>86</v>
      </c>
      <c r="H84" s="19">
        <v>75</v>
      </c>
      <c r="I84" s="20">
        <f t="shared" si="2"/>
        <v>87</v>
      </c>
      <c r="J84" s="17" t="s">
        <v>340</v>
      </c>
      <c r="K84" s="43" t="s">
        <v>60</v>
      </c>
    </row>
    <row r="85" spans="1:11" ht="33.950000000000003" customHeight="1" x14ac:dyDescent="0.25">
      <c r="A85" s="21">
        <v>84</v>
      </c>
      <c r="B85" s="21" t="s">
        <v>341</v>
      </c>
      <c r="C85" s="21" t="s">
        <v>62</v>
      </c>
      <c r="D85" s="21" t="s">
        <v>63</v>
      </c>
      <c r="E85" s="42" t="s">
        <v>342</v>
      </c>
      <c r="F85" s="22">
        <v>89</v>
      </c>
      <c r="G85" s="23">
        <v>88</v>
      </c>
      <c r="H85" s="23">
        <v>76</v>
      </c>
      <c r="I85" s="24">
        <f t="shared" si="2"/>
        <v>87</v>
      </c>
      <c r="J85" s="21" t="s">
        <v>343</v>
      </c>
      <c r="K85" s="43" t="s">
        <v>60</v>
      </c>
    </row>
    <row r="86" spans="1:11" ht="33.950000000000003" customHeight="1" x14ac:dyDescent="0.25">
      <c r="A86" s="17">
        <v>85</v>
      </c>
      <c r="B86" s="17" t="s">
        <v>344</v>
      </c>
      <c r="C86" s="17" t="s">
        <v>113</v>
      </c>
      <c r="D86" s="17" t="s">
        <v>345</v>
      </c>
      <c r="E86" s="42" t="s">
        <v>346</v>
      </c>
      <c r="F86" s="18">
        <v>88</v>
      </c>
      <c r="G86" s="19">
        <v>87</v>
      </c>
      <c r="H86" s="19">
        <v>84</v>
      </c>
      <c r="I86" s="20">
        <f t="shared" si="2"/>
        <v>87</v>
      </c>
      <c r="J86" s="17" t="s">
        <v>347</v>
      </c>
      <c r="K86" s="43" t="s">
        <v>60</v>
      </c>
    </row>
    <row r="87" spans="1:11" ht="33.950000000000003" customHeight="1" x14ac:dyDescent="0.25">
      <c r="A87" s="21">
        <v>86</v>
      </c>
      <c r="B87" s="21" t="s">
        <v>348</v>
      </c>
      <c r="C87" s="21" t="s">
        <v>18</v>
      </c>
      <c r="D87" s="21" t="s">
        <v>349</v>
      </c>
      <c r="E87" s="42" t="s">
        <v>350</v>
      </c>
      <c r="F87" s="22">
        <v>88</v>
      </c>
      <c r="G87" s="23">
        <v>86</v>
      </c>
      <c r="H87" s="23">
        <v>86</v>
      </c>
      <c r="I87" s="24">
        <f t="shared" si="2"/>
        <v>87</v>
      </c>
      <c r="J87" s="21" t="s">
        <v>351</v>
      </c>
      <c r="K87" s="43" t="s">
        <v>60</v>
      </c>
    </row>
    <row r="88" spans="1:11" ht="33.950000000000003" customHeight="1" x14ac:dyDescent="0.25">
      <c r="A88" s="17">
        <v>87</v>
      </c>
      <c r="B88" s="17" t="s">
        <v>352</v>
      </c>
      <c r="C88" s="17" t="s">
        <v>18</v>
      </c>
      <c r="D88" s="17" t="s">
        <v>353</v>
      </c>
      <c r="E88" s="42" t="s">
        <v>354</v>
      </c>
      <c r="F88" s="18">
        <v>88</v>
      </c>
      <c r="G88" s="19">
        <v>86</v>
      </c>
      <c r="H88" s="19">
        <v>86</v>
      </c>
      <c r="I88" s="20">
        <f t="shared" si="2"/>
        <v>87</v>
      </c>
      <c r="J88" s="17" t="s">
        <v>355</v>
      </c>
      <c r="K88" s="43" t="s">
        <v>60</v>
      </c>
    </row>
    <row r="89" spans="1:11" ht="33.950000000000003" customHeight="1" x14ac:dyDescent="0.25">
      <c r="A89" s="21">
        <v>88</v>
      </c>
      <c r="B89" s="21" t="s">
        <v>356</v>
      </c>
      <c r="C89" s="21" t="s">
        <v>357</v>
      </c>
      <c r="D89" s="21" t="s">
        <v>63</v>
      </c>
      <c r="E89" s="42" t="s">
        <v>358</v>
      </c>
      <c r="F89" s="22">
        <v>87</v>
      </c>
      <c r="G89" s="23">
        <v>88</v>
      </c>
      <c r="H89" s="23">
        <v>88</v>
      </c>
      <c r="I89" s="24">
        <f t="shared" si="2"/>
        <v>87</v>
      </c>
      <c r="J89" s="21" t="s">
        <v>359</v>
      </c>
      <c r="K89" s="43" t="s">
        <v>60</v>
      </c>
    </row>
    <row r="90" spans="1:11" ht="33.950000000000003" customHeight="1" x14ac:dyDescent="0.25">
      <c r="A90" s="17">
        <v>89</v>
      </c>
      <c r="B90" s="17" t="s">
        <v>360</v>
      </c>
      <c r="C90" s="17" t="s">
        <v>361</v>
      </c>
      <c r="D90" s="17" t="s">
        <v>362</v>
      </c>
      <c r="E90" s="42" t="s">
        <v>363</v>
      </c>
      <c r="F90" s="18">
        <v>86</v>
      </c>
      <c r="G90" s="19">
        <v>88</v>
      </c>
      <c r="H90" s="19">
        <v>86</v>
      </c>
      <c r="I90" s="20">
        <f t="shared" si="2"/>
        <v>87</v>
      </c>
      <c r="J90" s="17" t="s">
        <v>364</v>
      </c>
      <c r="K90" s="43" t="s">
        <v>60</v>
      </c>
    </row>
    <row r="91" spans="1:11" ht="33.950000000000003" customHeight="1" x14ac:dyDescent="0.25">
      <c r="A91" s="21">
        <v>90</v>
      </c>
      <c r="B91" s="21" t="s">
        <v>365</v>
      </c>
      <c r="C91" s="21" t="s">
        <v>84</v>
      </c>
      <c r="D91" s="21" t="s">
        <v>63</v>
      </c>
      <c r="E91" s="42" t="s">
        <v>366</v>
      </c>
      <c r="F91" s="22">
        <v>91</v>
      </c>
      <c r="G91" s="23">
        <v>88</v>
      </c>
      <c r="H91" s="23">
        <v>65</v>
      </c>
      <c r="I91" s="24">
        <f t="shared" si="2"/>
        <v>86</v>
      </c>
      <c r="J91" s="21" t="s">
        <v>367</v>
      </c>
      <c r="K91" s="43" t="s">
        <v>60</v>
      </c>
    </row>
    <row r="92" spans="1:11" ht="33.950000000000003" customHeight="1" x14ac:dyDescent="0.25">
      <c r="A92" s="17">
        <v>91</v>
      </c>
      <c r="B92" s="17" t="s">
        <v>368</v>
      </c>
      <c r="C92" s="17" t="s">
        <v>62</v>
      </c>
      <c r="D92" s="17" t="s">
        <v>88</v>
      </c>
      <c r="E92" s="42" t="s">
        <v>369</v>
      </c>
      <c r="F92" s="18">
        <v>91</v>
      </c>
      <c r="G92" s="19">
        <v>86</v>
      </c>
      <c r="H92" s="19">
        <v>67</v>
      </c>
      <c r="I92" s="20">
        <f t="shared" si="2"/>
        <v>86</v>
      </c>
      <c r="J92" s="17" t="s">
        <v>370</v>
      </c>
      <c r="K92" s="43" t="s">
        <v>60</v>
      </c>
    </row>
    <row r="93" spans="1:11" ht="33.950000000000003" customHeight="1" x14ac:dyDescent="0.25">
      <c r="A93" s="21">
        <v>92</v>
      </c>
      <c r="B93" s="21" t="s">
        <v>371</v>
      </c>
      <c r="C93" s="21" t="s">
        <v>18</v>
      </c>
      <c r="D93" s="21" t="s">
        <v>372</v>
      </c>
      <c r="E93" s="42" t="s">
        <v>373</v>
      </c>
      <c r="F93" s="22">
        <v>90</v>
      </c>
      <c r="G93" s="23">
        <v>85</v>
      </c>
      <c r="H93" s="23">
        <v>76</v>
      </c>
      <c r="I93" s="24">
        <f t="shared" si="2"/>
        <v>86</v>
      </c>
      <c r="J93" s="21" t="s">
        <v>374</v>
      </c>
      <c r="K93" s="43" t="s">
        <v>60</v>
      </c>
    </row>
    <row r="94" spans="1:11" ht="33.950000000000003" customHeight="1" x14ac:dyDescent="0.25">
      <c r="A94" s="17">
        <v>93</v>
      </c>
      <c r="B94" s="17" t="s">
        <v>375</v>
      </c>
      <c r="C94" s="17" t="s">
        <v>172</v>
      </c>
      <c r="D94" s="17" t="s">
        <v>376</v>
      </c>
      <c r="E94" s="42" t="s">
        <v>377</v>
      </c>
      <c r="F94" s="18">
        <v>89</v>
      </c>
      <c r="G94" s="19">
        <v>86</v>
      </c>
      <c r="H94" s="19">
        <v>78</v>
      </c>
      <c r="I94" s="20">
        <f t="shared" si="2"/>
        <v>86</v>
      </c>
      <c r="J94" s="17" t="s">
        <v>378</v>
      </c>
      <c r="K94" s="43" t="s">
        <v>60</v>
      </c>
    </row>
    <row r="95" spans="1:11" ht="33.950000000000003" customHeight="1" x14ac:dyDescent="0.25">
      <c r="A95" s="21">
        <v>94</v>
      </c>
      <c r="B95" s="21" t="s">
        <v>379</v>
      </c>
      <c r="C95" s="21" t="s">
        <v>380</v>
      </c>
      <c r="D95" s="21" t="s">
        <v>381</v>
      </c>
      <c r="E95" s="42" t="s">
        <v>382</v>
      </c>
      <c r="F95" s="22">
        <v>89</v>
      </c>
      <c r="G95" s="23">
        <v>86</v>
      </c>
      <c r="H95" s="23">
        <v>74</v>
      </c>
      <c r="I95" s="24">
        <f t="shared" si="2"/>
        <v>86</v>
      </c>
      <c r="J95" s="21" t="s">
        <v>383</v>
      </c>
      <c r="K95" s="43" t="s">
        <v>60</v>
      </c>
    </row>
    <row r="96" spans="1:11" ht="33.950000000000003" customHeight="1" x14ac:dyDescent="0.25">
      <c r="A96" s="17">
        <v>95</v>
      </c>
      <c r="B96" s="17" t="s">
        <v>384</v>
      </c>
      <c r="C96" s="17" t="s">
        <v>18</v>
      </c>
      <c r="D96" s="17" t="s">
        <v>385</v>
      </c>
      <c r="E96" s="42" t="s">
        <v>386</v>
      </c>
      <c r="F96" s="18">
        <v>89</v>
      </c>
      <c r="G96" s="19">
        <v>84</v>
      </c>
      <c r="H96" s="19">
        <v>79</v>
      </c>
      <c r="I96" s="20">
        <f t="shared" si="2"/>
        <v>86</v>
      </c>
      <c r="J96" s="17" t="s">
        <v>387</v>
      </c>
      <c r="K96" s="43" t="s">
        <v>60</v>
      </c>
    </row>
    <row r="97" spans="1:11" ht="33.950000000000003" customHeight="1" x14ac:dyDescent="0.25">
      <c r="A97" s="21">
        <v>96</v>
      </c>
      <c r="B97" s="21" t="s">
        <v>388</v>
      </c>
      <c r="C97" s="21" t="s">
        <v>357</v>
      </c>
      <c r="D97" s="21" t="s">
        <v>63</v>
      </c>
      <c r="E97" s="42" t="s">
        <v>389</v>
      </c>
      <c r="F97" s="22">
        <v>87</v>
      </c>
      <c r="G97" s="23">
        <v>87</v>
      </c>
      <c r="H97" s="23">
        <v>83</v>
      </c>
      <c r="I97" s="24">
        <f t="shared" si="2"/>
        <v>86</v>
      </c>
      <c r="J97" s="21" t="s">
        <v>390</v>
      </c>
      <c r="K97" s="43" t="s">
        <v>60</v>
      </c>
    </row>
    <row r="98" spans="1:11" ht="33.950000000000003" customHeight="1" x14ac:dyDescent="0.25">
      <c r="A98" s="17">
        <v>97</v>
      </c>
      <c r="B98" s="17" t="s">
        <v>391</v>
      </c>
      <c r="C98" s="17" t="s">
        <v>62</v>
      </c>
      <c r="D98" s="17" t="s">
        <v>13</v>
      </c>
      <c r="E98" s="42" t="s">
        <v>392</v>
      </c>
      <c r="F98" s="18">
        <v>87</v>
      </c>
      <c r="G98" s="19">
        <v>86</v>
      </c>
      <c r="H98" s="19">
        <v>84</v>
      </c>
      <c r="I98" s="20">
        <f t="shared" ref="I98:I129" si="3">ROUND(F98*0.55+G98*0.3+H98*0.15,0)</f>
        <v>86</v>
      </c>
      <c r="J98" s="17" t="s">
        <v>393</v>
      </c>
      <c r="K98" s="43" t="s">
        <v>60</v>
      </c>
    </row>
    <row r="99" spans="1:11" ht="33.950000000000003" customHeight="1" x14ac:dyDescent="0.25">
      <c r="A99" s="21">
        <v>98</v>
      </c>
      <c r="B99" s="21" t="s">
        <v>394</v>
      </c>
      <c r="C99" s="21" t="s">
        <v>18</v>
      </c>
      <c r="D99" s="21" t="s">
        <v>395</v>
      </c>
      <c r="E99" s="42" t="s">
        <v>396</v>
      </c>
      <c r="F99" s="22">
        <v>87</v>
      </c>
      <c r="G99" s="23">
        <v>86</v>
      </c>
      <c r="H99" s="23">
        <v>82</v>
      </c>
      <c r="I99" s="24">
        <f t="shared" si="3"/>
        <v>86</v>
      </c>
      <c r="J99" s="21" t="s">
        <v>397</v>
      </c>
      <c r="K99" s="43" t="s">
        <v>60</v>
      </c>
    </row>
    <row r="100" spans="1:11" ht="33.950000000000003" customHeight="1" x14ac:dyDescent="0.25">
      <c r="A100" s="17">
        <v>99</v>
      </c>
      <c r="B100" s="17" t="s">
        <v>398</v>
      </c>
      <c r="C100" s="17" t="s">
        <v>37</v>
      </c>
      <c r="D100" s="17" t="s">
        <v>47</v>
      </c>
      <c r="E100" s="42" t="s">
        <v>399</v>
      </c>
      <c r="F100" s="18">
        <v>87</v>
      </c>
      <c r="G100" s="19">
        <v>86</v>
      </c>
      <c r="H100" s="19">
        <v>80</v>
      </c>
      <c r="I100" s="20">
        <f t="shared" si="3"/>
        <v>86</v>
      </c>
      <c r="J100" s="17" t="s">
        <v>400</v>
      </c>
      <c r="K100" s="43" t="s">
        <v>60</v>
      </c>
    </row>
    <row r="101" spans="1:11" ht="33.950000000000003" customHeight="1" x14ac:dyDescent="0.25">
      <c r="A101" s="21">
        <v>100</v>
      </c>
      <c r="B101" s="21" t="s">
        <v>401</v>
      </c>
      <c r="C101" s="21" t="s">
        <v>80</v>
      </c>
      <c r="D101" s="21" t="s">
        <v>402</v>
      </c>
      <c r="E101" s="42" t="s">
        <v>403</v>
      </c>
      <c r="F101" s="22">
        <v>87</v>
      </c>
      <c r="G101" s="23">
        <v>85</v>
      </c>
      <c r="H101" s="23">
        <v>84</v>
      </c>
      <c r="I101" s="24">
        <f t="shared" si="3"/>
        <v>86</v>
      </c>
      <c r="J101" s="21" t="s">
        <v>404</v>
      </c>
      <c r="K101" s="43" t="s">
        <v>60</v>
      </c>
    </row>
    <row r="102" spans="1:11" ht="33.950000000000003" customHeight="1" x14ac:dyDescent="0.25">
      <c r="A102" s="17">
        <v>101</v>
      </c>
      <c r="B102" s="17" t="s">
        <v>405</v>
      </c>
      <c r="C102" s="17" t="s">
        <v>18</v>
      </c>
      <c r="D102" s="17" t="s">
        <v>406</v>
      </c>
      <c r="E102" s="42" t="s">
        <v>407</v>
      </c>
      <c r="F102" s="18">
        <v>87</v>
      </c>
      <c r="G102" s="19">
        <v>84</v>
      </c>
      <c r="H102" s="19">
        <v>85</v>
      </c>
      <c r="I102" s="20">
        <f t="shared" si="3"/>
        <v>86</v>
      </c>
      <c r="J102" s="17" t="s">
        <v>408</v>
      </c>
      <c r="K102" s="43" t="s">
        <v>60</v>
      </c>
    </row>
    <row r="103" spans="1:11" ht="33.950000000000003" customHeight="1" x14ac:dyDescent="0.25">
      <c r="A103" s="21">
        <v>102</v>
      </c>
      <c r="B103" s="21" t="s">
        <v>409</v>
      </c>
      <c r="C103" s="21" t="s">
        <v>62</v>
      </c>
      <c r="D103" s="21" t="s">
        <v>43</v>
      </c>
      <c r="E103" s="42" t="s">
        <v>410</v>
      </c>
      <c r="F103" s="22">
        <v>86</v>
      </c>
      <c r="G103" s="23">
        <v>88</v>
      </c>
      <c r="H103" s="23">
        <v>80</v>
      </c>
      <c r="I103" s="24">
        <f t="shared" si="3"/>
        <v>86</v>
      </c>
      <c r="J103" s="21" t="s">
        <v>411</v>
      </c>
      <c r="K103" s="43" t="s">
        <v>60</v>
      </c>
    </row>
    <row r="104" spans="1:11" ht="33.950000000000003" customHeight="1" x14ac:dyDescent="0.25">
      <c r="A104" s="17">
        <v>103</v>
      </c>
      <c r="B104" s="17" t="s">
        <v>412</v>
      </c>
      <c r="C104" s="17" t="s">
        <v>62</v>
      </c>
      <c r="D104" s="17" t="s">
        <v>413</v>
      </c>
      <c r="E104" s="42" t="s">
        <v>414</v>
      </c>
      <c r="F104" s="18">
        <v>86</v>
      </c>
      <c r="G104" s="19">
        <v>87</v>
      </c>
      <c r="H104" s="19">
        <v>84</v>
      </c>
      <c r="I104" s="20">
        <f t="shared" si="3"/>
        <v>86</v>
      </c>
      <c r="J104" s="17" t="s">
        <v>415</v>
      </c>
      <c r="K104" s="43" t="s">
        <v>60</v>
      </c>
    </row>
    <row r="105" spans="1:11" ht="33.950000000000003" customHeight="1" x14ac:dyDescent="0.25">
      <c r="A105" s="21">
        <v>104</v>
      </c>
      <c r="B105" s="21" t="s">
        <v>416</v>
      </c>
      <c r="C105" s="21" t="s">
        <v>122</v>
      </c>
      <c r="D105" s="21" t="s">
        <v>47</v>
      </c>
      <c r="E105" s="42" t="s">
        <v>417</v>
      </c>
      <c r="F105" s="22">
        <v>86</v>
      </c>
      <c r="G105" s="23">
        <v>87</v>
      </c>
      <c r="H105" s="23">
        <v>84</v>
      </c>
      <c r="I105" s="24">
        <f t="shared" si="3"/>
        <v>86</v>
      </c>
      <c r="J105" s="21" t="s">
        <v>418</v>
      </c>
      <c r="K105" s="43" t="s">
        <v>60</v>
      </c>
    </row>
    <row r="106" spans="1:11" ht="33.950000000000003" customHeight="1" x14ac:dyDescent="0.25">
      <c r="A106" s="17">
        <v>105</v>
      </c>
      <c r="B106" s="17" t="s">
        <v>419</v>
      </c>
      <c r="C106" s="17" t="s">
        <v>113</v>
      </c>
      <c r="D106" s="17" t="s">
        <v>420</v>
      </c>
      <c r="E106" s="42" t="s">
        <v>421</v>
      </c>
      <c r="F106" s="18">
        <v>86</v>
      </c>
      <c r="G106" s="19">
        <v>87</v>
      </c>
      <c r="H106" s="19">
        <v>82</v>
      </c>
      <c r="I106" s="20">
        <f t="shared" si="3"/>
        <v>86</v>
      </c>
      <c r="J106" s="17" t="s">
        <v>422</v>
      </c>
      <c r="K106" s="43" t="s">
        <v>60</v>
      </c>
    </row>
    <row r="107" spans="1:11" ht="33.950000000000003" customHeight="1" x14ac:dyDescent="0.25">
      <c r="A107" s="21">
        <v>106</v>
      </c>
      <c r="B107" s="21" t="s">
        <v>423</v>
      </c>
      <c r="C107" s="21" t="s">
        <v>197</v>
      </c>
      <c r="D107" s="21" t="s">
        <v>424</v>
      </c>
      <c r="E107" s="42" t="s">
        <v>425</v>
      </c>
      <c r="F107" s="22">
        <v>86</v>
      </c>
      <c r="G107" s="23">
        <v>84</v>
      </c>
      <c r="H107" s="23">
        <v>88</v>
      </c>
      <c r="I107" s="24">
        <f t="shared" si="3"/>
        <v>86</v>
      </c>
      <c r="J107" s="21" t="s">
        <v>426</v>
      </c>
      <c r="K107" s="43" t="s">
        <v>60</v>
      </c>
    </row>
    <row r="108" spans="1:11" ht="33.950000000000003" customHeight="1" x14ac:dyDescent="0.25">
      <c r="A108" s="17">
        <v>107</v>
      </c>
      <c r="B108" s="17" t="s">
        <v>427</v>
      </c>
      <c r="C108" s="17" t="s">
        <v>37</v>
      </c>
      <c r="D108" s="17" t="s">
        <v>428</v>
      </c>
      <c r="E108" s="42" t="s">
        <v>429</v>
      </c>
      <c r="F108" s="18">
        <v>85</v>
      </c>
      <c r="G108" s="19">
        <v>87</v>
      </c>
      <c r="H108" s="19">
        <v>90</v>
      </c>
      <c r="I108" s="20">
        <f t="shared" si="3"/>
        <v>86</v>
      </c>
      <c r="J108" s="17" t="s">
        <v>430</v>
      </c>
      <c r="K108" s="43" t="s">
        <v>60</v>
      </c>
    </row>
    <row r="109" spans="1:11" ht="33.950000000000003" customHeight="1" x14ac:dyDescent="0.25">
      <c r="A109" s="21">
        <v>108</v>
      </c>
      <c r="B109" s="21" t="s">
        <v>431</v>
      </c>
      <c r="C109" s="21" t="s">
        <v>62</v>
      </c>
      <c r="D109" s="21" t="s">
        <v>43</v>
      </c>
      <c r="E109" s="42" t="s">
        <v>432</v>
      </c>
      <c r="F109" s="22">
        <v>91</v>
      </c>
      <c r="G109" s="23">
        <v>88</v>
      </c>
      <c r="H109" s="23">
        <v>58</v>
      </c>
      <c r="I109" s="24">
        <f t="shared" si="3"/>
        <v>85</v>
      </c>
      <c r="J109" s="21" t="s">
        <v>433</v>
      </c>
      <c r="K109" s="43" t="s">
        <v>60</v>
      </c>
    </row>
    <row r="110" spans="1:11" ht="33.950000000000003" customHeight="1" x14ac:dyDescent="0.25">
      <c r="A110" s="17">
        <v>109</v>
      </c>
      <c r="B110" s="17" t="s">
        <v>434</v>
      </c>
      <c r="C110" s="17" t="s">
        <v>18</v>
      </c>
      <c r="D110" s="17" t="s">
        <v>435</v>
      </c>
      <c r="E110" s="42" t="s">
        <v>436</v>
      </c>
      <c r="F110" s="18">
        <v>91</v>
      </c>
      <c r="G110" s="19">
        <v>86</v>
      </c>
      <c r="H110" s="19">
        <v>62</v>
      </c>
      <c r="I110" s="20">
        <f t="shared" si="3"/>
        <v>85</v>
      </c>
      <c r="J110" s="17" t="s">
        <v>437</v>
      </c>
      <c r="K110" s="43" t="s">
        <v>60</v>
      </c>
    </row>
    <row r="111" spans="1:11" ht="33.950000000000003" customHeight="1" x14ac:dyDescent="0.25">
      <c r="A111" s="21">
        <v>110</v>
      </c>
      <c r="B111" s="21" t="s">
        <v>438</v>
      </c>
      <c r="C111" s="21" t="s">
        <v>12</v>
      </c>
      <c r="D111" s="21" t="s">
        <v>114</v>
      </c>
      <c r="E111" s="42" t="s">
        <v>439</v>
      </c>
      <c r="F111" s="22">
        <v>90</v>
      </c>
      <c r="G111" s="23">
        <v>84</v>
      </c>
      <c r="H111" s="23">
        <v>68</v>
      </c>
      <c r="I111" s="24">
        <f t="shared" si="3"/>
        <v>85</v>
      </c>
      <c r="J111" s="21" t="s">
        <v>440</v>
      </c>
      <c r="K111" s="43" t="s">
        <v>60</v>
      </c>
    </row>
    <row r="112" spans="1:11" ht="33.950000000000003" customHeight="1" x14ac:dyDescent="0.25">
      <c r="A112" s="17">
        <v>111</v>
      </c>
      <c r="B112" s="17" t="s">
        <v>441</v>
      </c>
      <c r="C112" s="17" t="s">
        <v>37</v>
      </c>
      <c r="D112" s="17" t="s">
        <v>442</v>
      </c>
      <c r="E112" s="42" t="s">
        <v>443</v>
      </c>
      <c r="F112" s="18">
        <v>88</v>
      </c>
      <c r="G112" s="19">
        <v>84</v>
      </c>
      <c r="H112" s="19">
        <v>76</v>
      </c>
      <c r="I112" s="20">
        <f t="shared" si="3"/>
        <v>85</v>
      </c>
      <c r="J112" s="17" t="s">
        <v>444</v>
      </c>
      <c r="K112" s="43" t="s">
        <v>60</v>
      </c>
    </row>
    <row r="113" spans="1:11" ht="33.950000000000003" customHeight="1" x14ac:dyDescent="0.25">
      <c r="A113" s="21">
        <v>112</v>
      </c>
      <c r="B113" s="21" t="s">
        <v>445</v>
      </c>
      <c r="C113" s="21" t="s">
        <v>18</v>
      </c>
      <c r="D113" s="21" t="s">
        <v>446</v>
      </c>
      <c r="E113" s="42" t="s">
        <v>447</v>
      </c>
      <c r="F113" s="22">
        <v>88</v>
      </c>
      <c r="G113" s="23">
        <v>84</v>
      </c>
      <c r="H113" s="23">
        <v>74</v>
      </c>
      <c r="I113" s="24">
        <f t="shared" si="3"/>
        <v>85</v>
      </c>
      <c r="J113" s="21" t="s">
        <v>448</v>
      </c>
      <c r="K113" s="43" t="s">
        <v>60</v>
      </c>
    </row>
    <row r="114" spans="1:11" ht="33.950000000000003" customHeight="1" x14ac:dyDescent="0.25">
      <c r="A114" s="17">
        <v>113</v>
      </c>
      <c r="B114" s="17" t="s">
        <v>449</v>
      </c>
      <c r="C114" s="17" t="s">
        <v>84</v>
      </c>
      <c r="D114" s="17" t="s">
        <v>450</v>
      </c>
      <c r="E114" s="42" t="s">
        <v>451</v>
      </c>
      <c r="F114" s="18">
        <v>87</v>
      </c>
      <c r="G114" s="19">
        <v>85</v>
      </c>
      <c r="H114" s="19">
        <v>75</v>
      </c>
      <c r="I114" s="20">
        <f t="shared" si="3"/>
        <v>85</v>
      </c>
      <c r="J114" s="17" t="s">
        <v>452</v>
      </c>
      <c r="K114" s="43" t="s">
        <v>60</v>
      </c>
    </row>
    <row r="115" spans="1:11" ht="33.950000000000003" customHeight="1" x14ac:dyDescent="0.25">
      <c r="A115" s="21">
        <v>114</v>
      </c>
      <c r="B115" s="21" t="s">
        <v>453</v>
      </c>
      <c r="C115" s="21" t="s">
        <v>18</v>
      </c>
      <c r="D115" s="21" t="s">
        <v>43</v>
      </c>
      <c r="E115" s="42" t="s">
        <v>454</v>
      </c>
      <c r="F115" s="22">
        <v>86</v>
      </c>
      <c r="G115" s="23">
        <v>87</v>
      </c>
      <c r="H115" s="23">
        <v>78</v>
      </c>
      <c r="I115" s="24">
        <f t="shared" si="3"/>
        <v>85</v>
      </c>
      <c r="J115" s="21" t="s">
        <v>455</v>
      </c>
      <c r="K115" s="43" t="s">
        <v>60</v>
      </c>
    </row>
    <row r="116" spans="1:11" ht="33.950000000000003" customHeight="1" x14ac:dyDescent="0.25">
      <c r="A116" s="17">
        <v>115</v>
      </c>
      <c r="B116" s="17" t="s">
        <v>456</v>
      </c>
      <c r="C116" s="17" t="s">
        <v>96</v>
      </c>
      <c r="D116" s="17" t="s">
        <v>47</v>
      </c>
      <c r="E116" s="42" t="s">
        <v>259</v>
      </c>
      <c r="F116" s="18">
        <v>86</v>
      </c>
      <c r="G116" s="19">
        <v>87</v>
      </c>
      <c r="H116" s="19">
        <v>78</v>
      </c>
      <c r="I116" s="20">
        <f t="shared" si="3"/>
        <v>85</v>
      </c>
      <c r="J116" s="17" t="s">
        <v>457</v>
      </c>
      <c r="K116" s="43" t="s">
        <v>60</v>
      </c>
    </row>
    <row r="117" spans="1:11" ht="33.950000000000003" customHeight="1" x14ac:dyDescent="0.25">
      <c r="A117" s="21">
        <v>116</v>
      </c>
      <c r="B117" s="21" t="s">
        <v>458</v>
      </c>
      <c r="C117" s="21" t="s">
        <v>37</v>
      </c>
      <c r="D117" s="21" t="s">
        <v>459</v>
      </c>
      <c r="E117" s="42" t="s">
        <v>460</v>
      </c>
      <c r="F117" s="22">
        <v>86</v>
      </c>
      <c r="G117" s="23">
        <v>86</v>
      </c>
      <c r="H117" s="23">
        <v>79</v>
      </c>
      <c r="I117" s="24">
        <f t="shared" si="3"/>
        <v>85</v>
      </c>
      <c r="J117" s="21" t="s">
        <v>461</v>
      </c>
      <c r="K117" s="43" t="s">
        <v>60</v>
      </c>
    </row>
    <row r="118" spans="1:11" ht="33.950000000000003" customHeight="1" x14ac:dyDescent="0.25">
      <c r="A118" s="17">
        <v>117</v>
      </c>
      <c r="B118" s="17" t="s">
        <v>462</v>
      </c>
      <c r="C118" s="17" t="s">
        <v>463</v>
      </c>
      <c r="D118" s="17" t="s">
        <v>464</v>
      </c>
      <c r="E118" s="42" t="s">
        <v>465</v>
      </c>
      <c r="F118" s="18">
        <v>86</v>
      </c>
      <c r="G118" s="19">
        <v>84</v>
      </c>
      <c r="H118" s="19">
        <v>86</v>
      </c>
      <c r="I118" s="20">
        <f t="shared" si="3"/>
        <v>85</v>
      </c>
      <c r="J118" s="17" t="s">
        <v>466</v>
      </c>
      <c r="K118" s="43" t="s">
        <v>60</v>
      </c>
    </row>
    <row r="119" spans="1:11" ht="33.950000000000003" customHeight="1" x14ac:dyDescent="0.25">
      <c r="A119" s="21">
        <v>118</v>
      </c>
      <c r="B119" s="21" t="s">
        <v>467</v>
      </c>
      <c r="C119" s="21" t="s">
        <v>18</v>
      </c>
      <c r="D119" s="21" t="s">
        <v>468</v>
      </c>
      <c r="E119" s="42" t="s">
        <v>469</v>
      </c>
      <c r="F119" s="22">
        <v>86</v>
      </c>
      <c r="G119" s="23">
        <v>83</v>
      </c>
      <c r="H119" s="23">
        <v>86</v>
      </c>
      <c r="I119" s="24">
        <f t="shared" si="3"/>
        <v>85</v>
      </c>
      <c r="J119" s="21" t="s">
        <v>470</v>
      </c>
      <c r="K119" s="43" t="s">
        <v>60</v>
      </c>
    </row>
    <row r="120" spans="1:11" ht="33.950000000000003" customHeight="1" x14ac:dyDescent="0.25">
      <c r="A120" s="17">
        <v>119</v>
      </c>
      <c r="B120" s="17" t="s">
        <v>471</v>
      </c>
      <c r="C120" s="17" t="s">
        <v>338</v>
      </c>
      <c r="D120" s="17" t="s">
        <v>472</v>
      </c>
      <c r="E120" s="42" t="s">
        <v>473</v>
      </c>
      <c r="F120" s="18">
        <v>85</v>
      </c>
      <c r="G120" s="19">
        <v>84</v>
      </c>
      <c r="H120" s="19">
        <v>84</v>
      </c>
      <c r="I120" s="20">
        <f t="shared" si="3"/>
        <v>85</v>
      </c>
      <c r="J120" s="17" t="s">
        <v>474</v>
      </c>
      <c r="K120" s="43" t="s">
        <v>60</v>
      </c>
    </row>
    <row r="121" spans="1:11" ht="33.950000000000003" customHeight="1" x14ac:dyDescent="0.25">
      <c r="A121" s="21">
        <v>120</v>
      </c>
      <c r="B121" s="21" t="s">
        <v>475</v>
      </c>
      <c r="C121" s="21" t="s">
        <v>172</v>
      </c>
      <c r="D121" s="21" t="s">
        <v>476</v>
      </c>
      <c r="E121" s="42" t="s">
        <v>477</v>
      </c>
      <c r="F121" s="22">
        <v>85</v>
      </c>
      <c r="G121" s="23">
        <v>84</v>
      </c>
      <c r="H121" s="23">
        <v>84</v>
      </c>
      <c r="I121" s="24">
        <f t="shared" si="3"/>
        <v>85</v>
      </c>
      <c r="J121" s="21" t="s">
        <v>478</v>
      </c>
      <c r="K121" s="43" t="s">
        <v>60</v>
      </c>
    </row>
    <row r="122" spans="1:11" ht="33.950000000000003" customHeight="1" x14ac:dyDescent="0.25">
      <c r="A122" s="17">
        <v>121</v>
      </c>
      <c r="B122" s="17" t="s">
        <v>479</v>
      </c>
      <c r="C122" s="17" t="s">
        <v>113</v>
      </c>
      <c r="D122" s="17" t="s">
        <v>480</v>
      </c>
      <c r="E122" s="42" t="s">
        <v>481</v>
      </c>
      <c r="F122" s="18">
        <v>84</v>
      </c>
      <c r="G122" s="19">
        <v>84</v>
      </c>
      <c r="H122" s="19">
        <v>88</v>
      </c>
      <c r="I122" s="20">
        <f t="shared" si="3"/>
        <v>85</v>
      </c>
      <c r="J122" s="17" t="s">
        <v>482</v>
      </c>
      <c r="K122" s="43" t="s">
        <v>60</v>
      </c>
    </row>
    <row r="123" spans="1:11" ht="33.950000000000003" customHeight="1" x14ac:dyDescent="0.25">
      <c r="A123" s="21">
        <v>122</v>
      </c>
      <c r="B123" s="21" t="s">
        <v>483</v>
      </c>
      <c r="C123" s="21" t="s">
        <v>96</v>
      </c>
      <c r="D123" s="21" t="s">
        <v>484</v>
      </c>
      <c r="E123" s="42" t="s">
        <v>485</v>
      </c>
      <c r="F123" s="22">
        <v>84</v>
      </c>
      <c r="G123" s="23">
        <v>83</v>
      </c>
      <c r="H123" s="23">
        <v>91</v>
      </c>
      <c r="I123" s="24">
        <f t="shared" si="3"/>
        <v>85</v>
      </c>
      <c r="J123" s="21" t="s">
        <v>486</v>
      </c>
      <c r="K123" s="43" t="s">
        <v>60</v>
      </c>
    </row>
    <row r="124" spans="1:11" ht="33.950000000000003" customHeight="1" x14ac:dyDescent="0.25">
      <c r="A124" s="17">
        <v>123</v>
      </c>
      <c r="B124" s="17" t="s">
        <v>487</v>
      </c>
      <c r="C124" s="17" t="s">
        <v>37</v>
      </c>
      <c r="D124" s="17" t="s">
        <v>488</v>
      </c>
      <c r="E124" s="42" t="s">
        <v>489</v>
      </c>
      <c r="F124" s="18">
        <v>83</v>
      </c>
      <c r="G124" s="19">
        <v>88</v>
      </c>
      <c r="H124" s="19">
        <v>89</v>
      </c>
      <c r="I124" s="20">
        <f t="shared" si="3"/>
        <v>85</v>
      </c>
      <c r="J124" s="17" t="s">
        <v>490</v>
      </c>
      <c r="K124" s="43" t="s">
        <v>60</v>
      </c>
    </row>
    <row r="125" spans="1:11" ht="33.950000000000003" customHeight="1" x14ac:dyDescent="0.25">
      <c r="A125" s="21">
        <v>124</v>
      </c>
      <c r="B125" s="21" t="s">
        <v>491</v>
      </c>
      <c r="C125" s="21" t="s">
        <v>270</v>
      </c>
      <c r="D125" s="21" t="s">
        <v>47</v>
      </c>
      <c r="E125" s="42" t="s">
        <v>259</v>
      </c>
      <c r="F125" s="22">
        <v>88</v>
      </c>
      <c r="G125" s="23">
        <v>84</v>
      </c>
      <c r="H125" s="23">
        <v>72</v>
      </c>
      <c r="I125" s="24">
        <f t="shared" si="3"/>
        <v>84</v>
      </c>
      <c r="J125" s="21" t="s">
        <v>492</v>
      </c>
      <c r="K125" s="43" t="s">
        <v>16</v>
      </c>
    </row>
    <row r="126" spans="1:11" ht="33.950000000000003" customHeight="1" x14ac:dyDescent="0.25">
      <c r="A126" s="17">
        <v>125</v>
      </c>
      <c r="B126" s="17" t="s">
        <v>493</v>
      </c>
      <c r="C126" s="17" t="s">
        <v>28</v>
      </c>
      <c r="D126" s="17" t="s">
        <v>13</v>
      </c>
      <c r="E126" s="42" t="s">
        <v>494</v>
      </c>
      <c r="F126" s="18">
        <v>88</v>
      </c>
      <c r="G126" s="19">
        <v>84</v>
      </c>
      <c r="H126" s="19">
        <v>66</v>
      </c>
      <c r="I126" s="20">
        <f t="shared" si="3"/>
        <v>84</v>
      </c>
      <c r="J126" s="17" t="s">
        <v>495</v>
      </c>
      <c r="K126" s="43" t="s">
        <v>60</v>
      </c>
    </row>
    <row r="127" spans="1:11" ht="33.950000000000003" customHeight="1" x14ac:dyDescent="0.25">
      <c r="A127" s="21">
        <v>126</v>
      </c>
      <c r="B127" s="21" t="s">
        <v>496</v>
      </c>
      <c r="C127" s="21" t="s">
        <v>23</v>
      </c>
      <c r="D127" s="21" t="s">
        <v>13</v>
      </c>
      <c r="E127" s="42" t="s">
        <v>497</v>
      </c>
      <c r="F127" s="22">
        <v>88</v>
      </c>
      <c r="G127" s="23">
        <v>83</v>
      </c>
      <c r="H127" s="23">
        <v>70</v>
      </c>
      <c r="I127" s="24">
        <f t="shared" si="3"/>
        <v>84</v>
      </c>
      <c r="J127" s="21" t="s">
        <v>498</v>
      </c>
      <c r="K127" s="43" t="s">
        <v>16</v>
      </c>
    </row>
    <row r="128" spans="1:11" ht="33.950000000000003" customHeight="1" x14ac:dyDescent="0.25">
      <c r="A128" s="17">
        <v>127</v>
      </c>
      <c r="B128" s="17" t="s">
        <v>499</v>
      </c>
      <c r="C128" s="17" t="s">
        <v>37</v>
      </c>
      <c r="D128" s="17" t="s">
        <v>114</v>
      </c>
      <c r="E128" s="42" t="s">
        <v>500</v>
      </c>
      <c r="F128" s="18">
        <v>87</v>
      </c>
      <c r="G128" s="19">
        <v>84</v>
      </c>
      <c r="H128" s="19">
        <v>70</v>
      </c>
      <c r="I128" s="20">
        <f t="shared" si="3"/>
        <v>84</v>
      </c>
      <c r="J128" s="17" t="s">
        <v>501</v>
      </c>
      <c r="K128" s="43" t="s">
        <v>60</v>
      </c>
    </row>
    <row r="129" spans="1:11" ht="33.950000000000003" customHeight="1" x14ac:dyDescent="0.25">
      <c r="A129" s="21">
        <v>128</v>
      </c>
      <c r="B129" s="21" t="s">
        <v>502</v>
      </c>
      <c r="C129" s="21" t="s">
        <v>137</v>
      </c>
      <c r="D129" s="21" t="s">
        <v>13</v>
      </c>
      <c r="E129" s="42" t="s">
        <v>503</v>
      </c>
      <c r="F129" s="22">
        <v>86</v>
      </c>
      <c r="G129" s="23">
        <v>86</v>
      </c>
      <c r="H129" s="23">
        <v>73</v>
      </c>
      <c r="I129" s="24">
        <f t="shared" si="3"/>
        <v>84</v>
      </c>
      <c r="J129" s="21" t="s">
        <v>504</v>
      </c>
      <c r="K129" s="43" t="s">
        <v>60</v>
      </c>
    </row>
    <row r="130" spans="1:11" ht="33.950000000000003" customHeight="1" x14ac:dyDescent="0.25">
      <c r="A130" s="17">
        <v>129</v>
      </c>
      <c r="B130" s="17" t="s">
        <v>505</v>
      </c>
      <c r="C130" s="17" t="s">
        <v>23</v>
      </c>
      <c r="D130" s="17" t="s">
        <v>506</v>
      </c>
      <c r="E130" s="42" t="s">
        <v>507</v>
      </c>
      <c r="F130" s="18">
        <v>86</v>
      </c>
      <c r="G130" s="19">
        <v>84</v>
      </c>
      <c r="H130" s="19">
        <v>77</v>
      </c>
      <c r="I130" s="20">
        <f t="shared" ref="I130:I161" si="4">ROUND(F130*0.55+G130*0.3+H130*0.15,0)</f>
        <v>84</v>
      </c>
      <c r="J130" s="17" t="s">
        <v>508</v>
      </c>
      <c r="K130" s="43" t="s">
        <v>60</v>
      </c>
    </row>
    <row r="131" spans="1:11" ht="33.950000000000003" customHeight="1" x14ac:dyDescent="0.25">
      <c r="A131" s="21">
        <v>130</v>
      </c>
      <c r="B131" s="21" t="s">
        <v>509</v>
      </c>
      <c r="C131" s="21" t="s">
        <v>18</v>
      </c>
      <c r="D131" s="21" t="s">
        <v>510</v>
      </c>
      <c r="E131" s="42" t="s">
        <v>511</v>
      </c>
      <c r="F131" s="22">
        <v>86</v>
      </c>
      <c r="G131" s="23">
        <v>83</v>
      </c>
      <c r="H131" s="23">
        <v>81</v>
      </c>
      <c r="I131" s="24">
        <f t="shared" si="4"/>
        <v>84</v>
      </c>
      <c r="J131" s="21" t="s">
        <v>512</v>
      </c>
      <c r="K131" s="43" t="s">
        <v>60</v>
      </c>
    </row>
    <row r="132" spans="1:11" ht="33.950000000000003" customHeight="1" x14ac:dyDescent="0.25">
      <c r="A132" s="17">
        <v>131</v>
      </c>
      <c r="B132" s="17" t="s">
        <v>513</v>
      </c>
      <c r="C132" s="17" t="s">
        <v>514</v>
      </c>
      <c r="D132" s="17" t="s">
        <v>515</v>
      </c>
      <c r="E132" s="42" t="s">
        <v>516</v>
      </c>
      <c r="F132" s="18">
        <v>86</v>
      </c>
      <c r="G132" s="19">
        <v>83</v>
      </c>
      <c r="H132" s="19">
        <v>80</v>
      </c>
      <c r="I132" s="20">
        <f t="shared" si="4"/>
        <v>84</v>
      </c>
      <c r="J132" s="17" t="s">
        <v>517</v>
      </c>
      <c r="K132" s="43" t="s">
        <v>60</v>
      </c>
    </row>
    <row r="133" spans="1:11" ht="33.950000000000003" customHeight="1" x14ac:dyDescent="0.25">
      <c r="A133" s="21">
        <v>132</v>
      </c>
      <c r="B133" s="21" t="s">
        <v>518</v>
      </c>
      <c r="C133" s="21" t="s">
        <v>122</v>
      </c>
      <c r="D133" s="21" t="s">
        <v>519</v>
      </c>
      <c r="E133" s="42" t="s">
        <v>520</v>
      </c>
      <c r="F133" s="22">
        <v>86</v>
      </c>
      <c r="G133" s="23">
        <v>83</v>
      </c>
      <c r="H133" s="23">
        <v>78</v>
      </c>
      <c r="I133" s="24">
        <f t="shared" si="4"/>
        <v>84</v>
      </c>
      <c r="J133" s="21" t="s">
        <v>521</v>
      </c>
      <c r="K133" s="43" t="s">
        <v>16</v>
      </c>
    </row>
    <row r="134" spans="1:11" ht="33.950000000000003" customHeight="1" x14ac:dyDescent="0.25">
      <c r="A134" s="17">
        <v>133</v>
      </c>
      <c r="B134" s="17" t="s">
        <v>522</v>
      </c>
      <c r="C134" s="17" t="s">
        <v>96</v>
      </c>
      <c r="D134" s="17" t="s">
        <v>210</v>
      </c>
      <c r="E134" s="42" t="s">
        <v>523</v>
      </c>
      <c r="F134" s="18">
        <v>85</v>
      </c>
      <c r="G134" s="19">
        <v>86</v>
      </c>
      <c r="H134" s="19">
        <v>76</v>
      </c>
      <c r="I134" s="20">
        <f t="shared" si="4"/>
        <v>84</v>
      </c>
      <c r="J134" s="17" t="s">
        <v>524</v>
      </c>
      <c r="K134" s="43" t="s">
        <v>60</v>
      </c>
    </row>
    <row r="135" spans="1:11" ht="33.950000000000003" customHeight="1" x14ac:dyDescent="0.25">
      <c r="A135" s="21">
        <v>134</v>
      </c>
      <c r="B135" s="21" t="s">
        <v>525</v>
      </c>
      <c r="C135" s="21" t="s">
        <v>526</v>
      </c>
      <c r="D135" s="21" t="s">
        <v>527</v>
      </c>
      <c r="E135" s="42" t="s">
        <v>528</v>
      </c>
      <c r="F135" s="22">
        <v>85</v>
      </c>
      <c r="G135" s="23">
        <v>85</v>
      </c>
      <c r="H135" s="23">
        <v>80</v>
      </c>
      <c r="I135" s="24">
        <f t="shared" si="4"/>
        <v>84</v>
      </c>
      <c r="J135" s="21" t="s">
        <v>529</v>
      </c>
      <c r="K135" s="43" t="s">
        <v>60</v>
      </c>
    </row>
    <row r="136" spans="1:11" ht="33.950000000000003" customHeight="1" x14ac:dyDescent="0.25">
      <c r="A136" s="17">
        <v>135</v>
      </c>
      <c r="B136" s="17" t="s">
        <v>530</v>
      </c>
      <c r="C136" s="17" t="s">
        <v>531</v>
      </c>
      <c r="D136" s="17" t="s">
        <v>88</v>
      </c>
      <c r="E136" s="42" t="s">
        <v>532</v>
      </c>
      <c r="F136" s="18">
        <v>85</v>
      </c>
      <c r="G136" s="19">
        <v>83</v>
      </c>
      <c r="H136" s="19">
        <v>80</v>
      </c>
      <c r="I136" s="20">
        <f t="shared" si="4"/>
        <v>84</v>
      </c>
      <c r="J136" s="17" t="s">
        <v>533</v>
      </c>
      <c r="K136" s="43" t="s">
        <v>60</v>
      </c>
    </row>
    <row r="137" spans="1:11" ht="33.950000000000003" customHeight="1" x14ac:dyDescent="0.25">
      <c r="A137" s="21">
        <v>136</v>
      </c>
      <c r="B137" s="21" t="s">
        <v>534</v>
      </c>
      <c r="C137" s="21" t="s">
        <v>37</v>
      </c>
      <c r="D137" s="21" t="s">
        <v>13</v>
      </c>
      <c r="E137" s="42" t="s">
        <v>535</v>
      </c>
      <c r="F137" s="22">
        <v>85</v>
      </c>
      <c r="G137" s="23">
        <v>82</v>
      </c>
      <c r="H137" s="23">
        <v>82</v>
      </c>
      <c r="I137" s="24">
        <f t="shared" si="4"/>
        <v>84</v>
      </c>
      <c r="J137" s="21" t="s">
        <v>536</v>
      </c>
      <c r="K137" s="43" t="s">
        <v>60</v>
      </c>
    </row>
    <row r="138" spans="1:11" ht="33.950000000000003" customHeight="1" x14ac:dyDescent="0.25">
      <c r="A138" s="17">
        <v>137</v>
      </c>
      <c r="B138" s="17" t="s">
        <v>537</v>
      </c>
      <c r="C138" s="17" t="s">
        <v>18</v>
      </c>
      <c r="D138" s="17" t="s">
        <v>538</v>
      </c>
      <c r="E138" s="42" t="s">
        <v>539</v>
      </c>
      <c r="F138" s="18">
        <v>84</v>
      </c>
      <c r="G138" s="19">
        <v>86</v>
      </c>
      <c r="H138" s="19">
        <v>82</v>
      </c>
      <c r="I138" s="20">
        <f t="shared" si="4"/>
        <v>84</v>
      </c>
      <c r="J138" s="17" t="s">
        <v>540</v>
      </c>
      <c r="K138" s="43" t="s">
        <v>60</v>
      </c>
    </row>
    <row r="139" spans="1:11" ht="33.950000000000003" customHeight="1" x14ac:dyDescent="0.25">
      <c r="A139" s="21">
        <v>138</v>
      </c>
      <c r="B139" s="21" t="s">
        <v>541</v>
      </c>
      <c r="C139" s="21" t="s">
        <v>225</v>
      </c>
      <c r="D139" s="21" t="s">
        <v>542</v>
      </c>
      <c r="E139" s="42" t="s">
        <v>543</v>
      </c>
      <c r="F139" s="22">
        <v>84</v>
      </c>
      <c r="G139" s="23">
        <v>85</v>
      </c>
      <c r="H139" s="23">
        <v>83</v>
      </c>
      <c r="I139" s="24">
        <f t="shared" si="4"/>
        <v>84</v>
      </c>
      <c r="J139" s="21" t="s">
        <v>544</v>
      </c>
      <c r="K139" s="43" t="s">
        <v>60</v>
      </c>
    </row>
    <row r="140" spans="1:11" ht="33.950000000000003" customHeight="1" x14ac:dyDescent="0.25">
      <c r="A140" s="17">
        <v>139</v>
      </c>
      <c r="B140" s="17" t="s">
        <v>545</v>
      </c>
      <c r="C140" s="17" t="s">
        <v>62</v>
      </c>
      <c r="D140" s="17" t="s">
        <v>24</v>
      </c>
      <c r="E140" s="42" t="s">
        <v>546</v>
      </c>
      <c r="F140" s="18">
        <v>84</v>
      </c>
      <c r="G140" s="19">
        <v>85</v>
      </c>
      <c r="H140" s="19">
        <v>82</v>
      </c>
      <c r="I140" s="20">
        <f t="shared" si="4"/>
        <v>84</v>
      </c>
      <c r="J140" s="17" t="s">
        <v>547</v>
      </c>
      <c r="K140" s="43" t="s">
        <v>60</v>
      </c>
    </row>
    <row r="141" spans="1:11" ht="33.950000000000003" customHeight="1" x14ac:dyDescent="0.25">
      <c r="A141" s="21">
        <v>140</v>
      </c>
      <c r="B141" s="21" t="s">
        <v>548</v>
      </c>
      <c r="C141" s="21" t="s">
        <v>549</v>
      </c>
      <c r="D141" s="21" t="s">
        <v>550</v>
      </c>
      <c r="E141" s="42" t="s">
        <v>551</v>
      </c>
      <c r="F141" s="22">
        <v>84</v>
      </c>
      <c r="G141" s="23">
        <v>84</v>
      </c>
      <c r="H141" s="23">
        <v>87</v>
      </c>
      <c r="I141" s="24">
        <f t="shared" si="4"/>
        <v>84</v>
      </c>
      <c r="J141" s="21" t="s">
        <v>552</v>
      </c>
      <c r="K141" s="43" t="s">
        <v>60</v>
      </c>
    </row>
    <row r="142" spans="1:11" ht="33.950000000000003" customHeight="1" x14ac:dyDescent="0.25">
      <c r="A142" s="17">
        <v>141</v>
      </c>
      <c r="B142" s="17" t="s">
        <v>553</v>
      </c>
      <c r="C142" s="17" t="s">
        <v>62</v>
      </c>
      <c r="D142" s="17" t="s">
        <v>554</v>
      </c>
      <c r="E142" s="42" t="s">
        <v>555</v>
      </c>
      <c r="F142" s="18">
        <v>84</v>
      </c>
      <c r="G142" s="19">
        <v>84</v>
      </c>
      <c r="H142" s="19">
        <v>85</v>
      </c>
      <c r="I142" s="20">
        <f t="shared" si="4"/>
        <v>84</v>
      </c>
      <c r="J142" s="17" t="s">
        <v>556</v>
      </c>
      <c r="K142" s="43" t="s">
        <v>60</v>
      </c>
    </row>
    <row r="143" spans="1:11" ht="33.950000000000003" customHeight="1" x14ac:dyDescent="0.25">
      <c r="A143" s="21">
        <v>142</v>
      </c>
      <c r="B143" s="21" t="s">
        <v>557</v>
      </c>
      <c r="C143" s="21" t="s">
        <v>18</v>
      </c>
      <c r="D143" s="21" t="s">
        <v>114</v>
      </c>
      <c r="E143" s="42" t="s">
        <v>558</v>
      </c>
      <c r="F143" s="22">
        <v>84</v>
      </c>
      <c r="G143" s="23">
        <v>84</v>
      </c>
      <c r="H143" s="23">
        <v>84</v>
      </c>
      <c r="I143" s="24">
        <f t="shared" si="4"/>
        <v>84</v>
      </c>
      <c r="J143" s="21" t="s">
        <v>559</v>
      </c>
      <c r="K143" s="43" t="s">
        <v>60</v>
      </c>
    </row>
    <row r="144" spans="1:11" ht="33.950000000000003" customHeight="1" x14ac:dyDescent="0.25">
      <c r="A144" s="17">
        <v>143</v>
      </c>
      <c r="B144" s="17" t="s">
        <v>560</v>
      </c>
      <c r="C144" s="17" t="s">
        <v>531</v>
      </c>
      <c r="D144" s="17" t="s">
        <v>561</v>
      </c>
      <c r="E144" s="42" t="s">
        <v>562</v>
      </c>
      <c r="F144" s="18">
        <v>84</v>
      </c>
      <c r="G144" s="19">
        <v>84</v>
      </c>
      <c r="H144" s="19">
        <v>84</v>
      </c>
      <c r="I144" s="20">
        <f t="shared" si="4"/>
        <v>84</v>
      </c>
      <c r="J144" s="17" t="s">
        <v>563</v>
      </c>
      <c r="K144" s="43" t="s">
        <v>60</v>
      </c>
    </row>
    <row r="145" spans="1:11" ht="33.950000000000003" customHeight="1" x14ac:dyDescent="0.25">
      <c r="A145" s="21">
        <v>144</v>
      </c>
      <c r="B145" s="21" t="s">
        <v>564</v>
      </c>
      <c r="C145" s="21" t="s">
        <v>96</v>
      </c>
      <c r="D145" s="21" t="s">
        <v>565</v>
      </c>
      <c r="E145" s="42" t="s">
        <v>566</v>
      </c>
      <c r="F145" s="22">
        <v>84</v>
      </c>
      <c r="G145" s="23">
        <v>83</v>
      </c>
      <c r="H145" s="23">
        <v>84</v>
      </c>
      <c r="I145" s="24">
        <f t="shared" si="4"/>
        <v>84</v>
      </c>
      <c r="J145" s="21" t="s">
        <v>567</v>
      </c>
      <c r="K145" s="43" t="s">
        <v>60</v>
      </c>
    </row>
    <row r="146" spans="1:11" ht="33.950000000000003" customHeight="1" x14ac:dyDescent="0.25">
      <c r="A146" s="17">
        <v>145</v>
      </c>
      <c r="B146" s="17" t="s">
        <v>568</v>
      </c>
      <c r="C146" s="17" t="s">
        <v>96</v>
      </c>
      <c r="D146" s="17" t="s">
        <v>88</v>
      </c>
      <c r="E146" s="42" t="s">
        <v>89</v>
      </c>
      <c r="F146" s="18">
        <v>84</v>
      </c>
      <c r="G146" s="19">
        <v>83</v>
      </c>
      <c r="H146" s="19">
        <v>84</v>
      </c>
      <c r="I146" s="20">
        <f t="shared" si="4"/>
        <v>84</v>
      </c>
      <c r="J146" s="17" t="s">
        <v>569</v>
      </c>
      <c r="K146" s="43" t="s">
        <v>60</v>
      </c>
    </row>
    <row r="147" spans="1:11" ht="33.950000000000003" customHeight="1" x14ac:dyDescent="0.25">
      <c r="A147" s="21">
        <v>146</v>
      </c>
      <c r="B147" s="21" t="s">
        <v>570</v>
      </c>
      <c r="C147" s="21" t="s">
        <v>37</v>
      </c>
      <c r="D147" s="21" t="s">
        <v>571</v>
      </c>
      <c r="E147" s="42" t="s">
        <v>572</v>
      </c>
      <c r="F147" s="22">
        <v>84</v>
      </c>
      <c r="G147" s="23">
        <v>82</v>
      </c>
      <c r="H147" s="23">
        <v>86</v>
      </c>
      <c r="I147" s="24">
        <f t="shared" si="4"/>
        <v>84</v>
      </c>
      <c r="J147" s="21" t="s">
        <v>573</v>
      </c>
      <c r="K147" s="43" t="s">
        <v>60</v>
      </c>
    </row>
    <row r="148" spans="1:11" ht="33.950000000000003" customHeight="1" x14ac:dyDescent="0.25">
      <c r="A148" s="17">
        <v>147</v>
      </c>
      <c r="B148" s="17" t="s">
        <v>574</v>
      </c>
      <c r="C148" s="17" t="s">
        <v>172</v>
      </c>
      <c r="D148" s="17" t="s">
        <v>575</v>
      </c>
      <c r="E148" s="42" t="s">
        <v>576</v>
      </c>
      <c r="F148" s="18">
        <v>84</v>
      </c>
      <c r="G148" s="19">
        <v>82</v>
      </c>
      <c r="H148" s="19">
        <v>86</v>
      </c>
      <c r="I148" s="20">
        <f t="shared" si="4"/>
        <v>84</v>
      </c>
      <c r="J148" s="17" t="s">
        <v>577</v>
      </c>
      <c r="K148" s="43" t="s">
        <v>60</v>
      </c>
    </row>
    <row r="149" spans="1:11" ht="33.950000000000003" customHeight="1" x14ac:dyDescent="0.25">
      <c r="A149" s="21">
        <v>148</v>
      </c>
      <c r="B149" s="21" t="s">
        <v>578</v>
      </c>
      <c r="C149" s="21" t="s">
        <v>62</v>
      </c>
      <c r="D149" s="21" t="s">
        <v>579</v>
      </c>
      <c r="E149" s="42" t="s">
        <v>580</v>
      </c>
      <c r="F149" s="22">
        <v>83</v>
      </c>
      <c r="G149" s="23">
        <v>85</v>
      </c>
      <c r="H149" s="23">
        <v>85</v>
      </c>
      <c r="I149" s="24">
        <f t="shared" si="4"/>
        <v>84</v>
      </c>
      <c r="J149" s="21" t="s">
        <v>581</v>
      </c>
      <c r="K149" s="43" t="s">
        <v>60</v>
      </c>
    </row>
    <row r="150" spans="1:11" ht="33.950000000000003" customHeight="1" x14ac:dyDescent="0.25">
      <c r="A150" s="17">
        <v>149</v>
      </c>
      <c r="B150" s="17" t="s">
        <v>582</v>
      </c>
      <c r="C150" s="17" t="s">
        <v>137</v>
      </c>
      <c r="D150" s="17" t="s">
        <v>583</v>
      </c>
      <c r="E150" s="42" t="s">
        <v>584</v>
      </c>
      <c r="F150" s="18">
        <v>83</v>
      </c>
      <c r="G150" s="19">
        <v>84</v>
      </c>
      <c r="H150" s="19">
        <v>86</v>
      </c>
      <c r="I150" s="20">
        <f t="shared" si="4"/>
        <v>84</v>
      </c>
      <c r="J150" s="17" t="s">
        <v>585</v>
      </c>
      <c r="K150" s="43" t="s">
        <v>60</v>
      </c>
    </row>
    <row r="151" spans="1:11" ht="33.950000000000003" customHeight="1" x14ac:dyDescent="0.25">
      <c r="A151" s="21">
        <v>150</v>
      </c>
      <c r="B151" s="21" t="s">
        <v>586</v>
      </c>
      <c r="C151" s="21" t="s">
        <v>37</v>
      </c>
      <c r="D151" s="21" t="s">
        <v>587</v>
      </c>
      <c r="E151" s="42" t="s">
        <v>588</v>
      </c>
      <c r="F151" s="22">
        <v>83</v>
      </c>
      <c r="G151" s="23">
        <v>83</v>
      </c>
      <c r="H151" s="23">
        <v>88</v>
      </c>
      <c r="I151" s="24">
        <f t="shared" si="4"/>
        <v>84</v>
      </c>
      <c r="J151" s="21" t="s">
        <v>589</v>
      </c>
      <c r="K151" s="43" t="s">
        <v>60</v>
      </c>
    </row>
    <row r="152" spans="1:11" ht="33.950000000000003" customHeight="1" x14ac:dyDescent="0.25">
      <c r="A152" s="17">
        <v>151</v>
      </c>
      <c r="B152" s="17" t="s">
        <v>590</v>
      </c>
      <c r="C152" s="17" t="s">
        <v>96</v>
      </c>
      <c r="D152" s="17" t="s">
        <v>591</v>
      </c>
      <c r="E152" s="42" t="s">
        <v>592</v>
      </c>
      <c r="F152" s="18">
        <v>83</v>
      </c>
      <c r="G152" s="19">
        <v>82</v>
      </c>
      <c r="H152" s="19">
        <v>91</v>
      </c>
      <c r="I152" s="20">
        <f t="shared" si="4"/>
        <v>84</v>
      </c>
      <c r="J152" s="17" t="s">
        <v>593</v>
      </c>
      <c r="K152" s="43" t="s">
        <v>60</v>
      </c>
    </row>
    <row r="153" spans="1:11" ht="33.950000000000003" customHeight="1" x14ac:dyDescent="0.25">
      <c r="A153" s="21">
        <v>152</v>
      </c>
      <c r="B153" s="21" t="s">
        <v>594</v>
      </c>
      <c r="C153" s="21" t="s">
        <v>96</v>
      </c>
      <c r="D153" s="21" t="s">
        <v>595</v>
      </c>
      <c r="E153" s="42" t="s">
        <v>596</v>
      </c>
      <c r="F153" s="22">
        <v>82</v>
      </c>
      <c r="G153" s="23">
        <v>83</v>
      </c>
      <c r="H153" s="23">
        <v>96</v>
      </c>
      <c r="I153" s="24">
        <f t="shared" si="4"/>
        <v>84</v>
      </c>
      <c r="J153" s="21" t="s">
        <v>597</v>
      </c>
      <c r="K153" s="43" t="s">
        <v>60</v>
      </c>
    </row>
    <row r="154" spans="1:11" ht="33.950000000000003" customHeight="1" x14ac:dyDescent="0.25">
      <c r="A154" s="17">
        <v>153</v>
      </c>
      <c r="B154" s="17" t="s">
        <v>598</v>
      </c>
      <c r="C154" s="17" t="s">
        <v>96</v>
      </c>
      <c r="D154" s="17" t="s">
        <v>599</v>
      </c>
      <c r="E154" s="42" t="s">
        <v>600</v>
      </c>
      <c r="F154" s="18">
        <v>82</v>
      </c>
      <c r="G154" s="19">
        <v>82</v>
      </c>
      <c r="H154" s="19">
        <v>96</v>
      </c>
      <c r="I154" s="20">
        <f t="shared" si="4"/>
        <v>84</v>
      </c>
      <c r="J154" s="17" t="s">
        <v>601</v>
      </c>
      <c r="K154" s="43" t="s">
        <v>60</v>
      </c>
    </row>
    <row r="155" spans="1:11" ht="33.950000000000003" customHeight="1" x14ac:dyDescent="0.25">
      <c r="A155" s="21">
        <v>154</v>
      </c>
      <c r="B155" s="21" t="s">
        <v>602</v>
      </c>
      <c r="C155" s="21" t="s">
        <v>286</v>
      </c>
      <c r="D155" s="21" t="s">
        <v>63</v>
      </c>
      <c r="E155" s="42" t="s">
        <v>603</v>
      </c>
      <c r="F155" s="22">
        <v>89</v>
      </c>
      <c r="G155" s="23">
        <v>84</v>
      </c>
      <c r="H155" s="23">
        <v>58</v>
      </c>
      <c r="I155" s="24">
        <f t="shared" si="4"/>
        <v>83</v>
      </c>
      <c r="J155" s="21" t="s">
        <v>604</v>
      </c>
      <c r="K155" s="43" t="s">
        <v>60</v>
      </c>
    </row>
    <row r="156" spans="1:11" ht="33.950000000000003" customHeight="1" x14ac:dyDescent="0.25">
      <c r="A156" s="17">
        <v>155</v>
      </c>
      <c r="B156" s="17" t="s">
        <v>605</v>
      </c>
      <c r="C156" s="17" t="s">
        <v>238</v>
      </c>
      <c r="D156" s="17" t="s">
        <v>606</v>
      </c>
      <c r="E156" s="42" t="s">
        <v>607</v>
      </c>
      <c r="F156" s="18">
        <v>89</v>
      </c>
      <c r="G156" s="19">
        <v>82</v>
      </c>
      <c r="H156" s="19">
        <v>66</v>
      </c>
      <c r="I156" s="20">
        <f t="shared" si="4"/>
        <v>83</v>
      </c>
      <c r="J156" s="17" t="s">
        <v>608</v>
      </c>
      <c r="K156" s="43" t="s">
        <v>60</v>
      </c>
    </row>
    <row r="157" spans="1:11" ht="33.950000000000003" customHeight="1" x14ac:dyDescent="0.25">
      <c r="A157" s="21">
        <v>156</v>
      </c>
      <c r="B157" s="21" t="s">
        <v>609</v>
      </c>
      <c r="C157" s="21" t="s">
        <v>380</v>
      </c>
      <c r="D157" s="21" t="s">
        <v>610</v>
      </c>
      <c r="E157" s="42" t="s">
        <v>611</v>
      </c>
      <c r="F157" s="22">
        <v>88</v>
      </c>
      <c r="G157" s="23">
        <v>85</v>
      </c>
      <c r="H157" s="23">
        <v>58</v>
      </c>
      <c r="I157" s="24">
        <f t="shared" si="4"/>
        <v>83</v>
      </c>
      <c r="J157" s="21" t="s">
        <v>612</v>
      </c>
      <c r="K157" s="43" t="s">
        <v>60</v>
      </c>
    </row>
    <row r="158" spans="1:11" ht="33.950000000000003" customHeight="1" x14ac:dyDescent="0.25">
      <c r="A158" s="17">
        <v>157</v>
      </c>
      <c r="B158" s="17" t="s">
        <v>613</v>
      </c>
      <c r="C158" s="17" t="s">
        <v>62</v>
      </c>
      <c r="D158" s="17" t="s">
        <v>47</v>
      </c>
      <c r="E158" s="42" t="s">
        <v>614</v>
      </c>
      <c r="F158" s="18">
        <v>87</v>
      </c>
      <c r="G158" s="19">
        <v>84</v>
      </c>
      <c r="H158" s="19">
        <v>68</v>
      </c>
      <c r="I158" s="20">
        <f t="shared" si="4"/>
        <v>83</v>
      </c>
      <c r="J158" s="17" t="s">
        <v>615</v>
      </c>
      <c r="K158" s="43" t="s">
        <v>16</v>
      </c>
    </row>
    <row r="159" spans="1:11" ht="33.950000000000003" customHeight="1" x14ac:dyDescent="0.25">
      <c r="A159" s="21">
        <v>158</v>
      </c>
      <c r="B159" s="21" t="s">
        <v>616</v>
      </c>
      <c r="C159" s="21" t="s">
        <v>18</v>
      </c>
      <c r="D159" s="21" t="s">
        <v>617</v>
      </c>
      <c r="E159" s="42" t="s">
        <v>618</v>
      </c>
      <c r="F159" s="22">
        <v>87</v>
      </c>
      <c r="G159" s="23">
        <v>83</v>
      </c>
      <c r="H159" s="23">
        <v>68</v>
      </c>
      <c r="I159" s="24">
        <f t="shared" si="4"/>
        <v>83</v>
      </c>
      <c r="J159" s="21" t="s">
        <v>619</v>
      </c>
      <c r="K159" s="43" t="s">
        <v>60</v>
      </c>
    </row>
    <row r="160" spans="1:11" ht="33.950000000000003" customHeight="1" x14ac:dyDescent="0.25">
      <c r="A160" s="17">
        <v>159</v>
      </c>
      <c r="B160" s="17" t="s">
        <v>620</v>
      </c>
      <c r="C160" s="17" t="s">
        <v>37</v>
      </c>
      <c r="D160" s="17" t="s">
        <v>63</v>
      </c>
      <c r="E160" s="42" t="s">
        <v>621</v>
      </c>
      <c r="F160" s="18">
        <v>86</v>
      </c>
      <c r="G160" s="19">
        <v>84</v>
      </c>
      <c r="H160" s="19">
        <v>68</v>
      </c>
      <c r="I160" s="20">
        <f t="shared" si="4"/>
        <v>83</v>
      </c>
      <c r="J160" s="17" t="s">
        <v>622</v>
      </c>
      <c r="K160" s="43" t="s">
        <v>60</v>
      </c>
    </row>
    <row r="161" spans="1:11" ht="33.950000000000003" customHeight="1" x14ac:dyDescent="0.25">
      <c r="A161" s="21">
        <v>160</v>
      </c>
      <c r="B161" s="21" t="s">
        <v>623</v>
      </c>
      <c r="C161" s="21" t="s">
        <v>286</v>
      </c>
      <c r="D161" s="21" t="s">
        <v>43</v>
      </c>
      <c r="E161" s="42" t="s">
        <v>624</v>
      </c>
      <c r="F161" s="22">
        <v>85</v>
      </c>
      <c r="G161" s="23">
        <v>83</v>
      </c>
      <c r="H161" s="23">
        <v>77</v>
      </c>
      <c r="I161" s="24">
        <f t="shared" si="4"/>
        <v>83</v>
      </c>
      <c r="J161" s="21" t="s">
        <v>625</v>
      </c>
      <c r="K161" s="43" t="s">
        <v>60</v>
      </c>
    </row>
    <row r="162" spans="1:11" ht="33.950000000000003" customHeight="1" x14ac:dyDescent="0.25">
      <c r="A162" s="17">
        <v>161</v>
      </c>
      <c r="B162" s="17" t="s">
        <v>626</v>
      </c>
      <c r="C162" s="17" t="s">
        <v>62</v>
      </c>
      <c r="D162" s="17" t="s">
        <v>627</v>
      </c>
      <c r="E162" s="42" t="s">
        <v>628</v>
      </c>
      <c r="F162" s="18">
        <v>85</v>
      </c>
      <c r="G162" s="19">
        <v>83</v>
      </c>
      <c r="H162" s="19">
        <v>76</v>
      </c>
      <c r="I162" s="20">
        <f t="shared" ref="I162:I193" si="5">ROUND(F162*0.55+G162*0.3+H162*0.15,0)</f>
        <v>83</v>
      </c>
      <c r="J162" s="17" t="s">
        <v>629</v>
      </c>
      <c r="K162" s="43" t="s">
        <v>60</v>
      </c>
    </row>
    <row r="163" spans="1:11" ht="33.950000000000003" customHeight="1" x14ac:dyDescent="0.25">
      <c r="A163" s="21">
        <v>162</v>
      </c>
      <c r="B163" s="21" t="s">
        <v>630</v>
      </c>
      <c r="C163" s="21" t="s">
        <v>62</v>
      </c>
      <c r="D163" s="21" t="s">
        <v>631</v>
      </c>
      <c r="E163" s="42" t="s">
        <v>632</v>
      </c>
      <c r="F163" s="22">
        <v>84</v>
      </c>
      <c r="G163" s="23">
        <v>84</v>
      </c>
      <c r="H163" s="23">
        <v>76</v>
      </c>
      <c r="I163" s="24">
        <f t="shared" si="5"/>
        <v>83</v>
      </c>
      <c r="J163" s="21" t="s">
        <v>633</v>
      </c>
      <c r="K163" s="43" t="s">
        <v>60</v>
      </c>
    </row>
    <row r="164" spans="1:11" ht="33.950000000000003" customHeight="1" x14ac:dyDescent="0.25">
      <c r="A164" s="17">
        <v>163</v>
      </c>
      <c r="B164" s="17" t="s">
        <v>634</v>
      </c>
      <c r="C164" s="17" t="s">
        <v>635</v>
      </c>
      <c r="D164" s="17" t="s">
        <v>636</v>
      </c>
      <c r="E164" s="42" t="s">
        <v>637</v>
      </c>
      <c r="F164" s="18">
        <v>84</v>
      </c>
      <c r="G164" s="19">
        <v>83</v>
      </c>
      <c r="H164" s="19">
        <v>79</v>
      </c>
      <c r="I164" s="20">
        <f t="shared" si="5"/>
        <v>83</v>
      </c>
      <c r="J164" s="17" t="s">
        <v>638</v>
      </c>
      <c r="K164" s="43" t="s">
        <v>60</v>
      </c>
    </row>
    <row r="165" spans="1:11" ht="33.950000000000003" customHeight="1" x14ac:dyDescent="0.25">
      <c r="A165" s="21">
        <v>164</v>
      </c>
      <c r="B165" s="21" t="s">
        <v>639</v>
      </c>
      <c r="C165" s="21" t="s">
        <v>37</v>
      </c>
      <c r="D165" s="21" t="s">
        <v>640</v>
      </c>
      <c r="E165" s="42" t="s">
        <v>641</v>
      </c>
      <c r="F165" s="22">
        <v>84</v>
      </c>
      <c r="G165" s="23">
        <v>82</v>
      </c>
      <c r="H165" s="23">
        <v>82</v>
      </c>
      <c r="I165" s="24">
        <f t="shared" si="5"/>
        <v>83</v>
      </c>
      <c r="J165" s="21" t="s">
        <v>642</v>
      </c>
      <c r="K165" s="43" t="s">
        <v>60</v>
      </c>
    </row>
    <row r="166" spans="1:11" ht="33.950000000000003" customHeight="1" x14ac:dyDescent="0.25">
      <c r="A166" s="17">
        <v>165</v>
      </c>
      <c r="B166" s="17" t="s">
        <v>643</v>
      </c>
      <c r="C166" s="17" t="s">
        <v>514</v>
      </c>
      <c r="D166" s="17" t="s">
        <v>644</v>
      </c>
      <c r="E166" s="42" t="s">
        <v>645</v>
      </c>
      <c r="F166" s="18">
        <v>83</v>
      </c>
      <c r="G166" s="19">
        <v>82</v>
      </c>
      <c r="H166" s="19">
        <v>84</v>
      </c>
      <c r="I166" s="20">
        <f t="shared" si="5"/>
        <v>83</v>
      </c>
      <c r="J166" s="17" t="s">
        <v>646</v>
      </c>
      <c r="K166" s="43" t="s">
        <v>60</v>
      </c>
    </row>
    <row r="167" spans="1:11" ht="33.950000000000003" customHeight="1" x14ac:dyDescent="0.25">
      <c r="A167" s="21">
        <v>166</v>
      </c>
      <c r="B167" s="21" t="s">
        <v>647</v>
      </c>
      <c r="C167" s="21" t="s">
        <v>225</v>
      </c>
      <c r="D167" s="21" t="s">
        <v>76</v>
      </c>
      <c r="E167" s="42" t="s">
        <v>648</v>
      </c>
      <c r="F167" s="22">
        <v>83</v>
      </c>
      <c r="G167" s="23">
        <v>82</v>
      </c>
      <c r="H167" s="23">
        <v>83</v>
      </c>
      <c r="I167" s="24">
        <f t="shared" si="5"/>
        <v>83</v>
      </c>
      <c r="J167" s="21" t="s">
        <v>649</v>
      </c>
      <c r="K167" s="43" t="s">
        <v>60</v>
      </c>
    </row>
    <row r="168" spans="1:11" ht="33.950000000000003" customHeight="1" x14ac:dyDescent="0.25">
      <c r="A168" s="17">
        <v>167</v>
      </c>
      <c r="B168" s="17" t="s">
        <v>650</v>
      </c>
      <c r="C168" s="17" t="s">
        <v>62</v>
      </c>
      <c r="D168" s="17" t="s">
        <v>651</v>
      </c>
      <c r="E168" s="42" t="s">
        <v>652</v>
      </c>
      <c r="F168" s="18">
        <v>82</v>
      </c>
      <c r="G168" s="19">
        <v>84</v>
      </c>
      <c r="H168" s="19">
        <v>87</v>
      </c>
      <c r="I168" s="20">
        <f t="shared" si="5"/>
        <v>83</v>
      </c>
      <c r="J168" s="17" t="s">
        <v>653</v>
      </c>
      <c r="K168" s="43" t="s">
        <v>60</v>
      </c>
    </row>
    <row r="169" spans="1:11" ht="33.950000000000003" customHeight="1" x14ac:dyDescent="0.25">
      <c r="A169" s="21">
        <v>168</v>
      </c>
      <c r="B169" s="21" t="s">
        <v>654</v>
      </c>
      <c r="C169" s="21" t="s">
        <v>62</v>
      </c>
      <c r="D169" s="21" t="s">
        <v>655</v>
      </c>
      <c r="E169" s="42" t="s">
        <v>656</v>
      </c>
      <c r="F169" s="22">
        <v>82</v>
      </c>
      <c r="G169" s="23">
        <v>83</v>
      </c>
      <c r="H169" s="23">
        <v>89</v>
      </c>
      <c r="I169" s="24">
        <f t="shared" si="5"/>
        <v>83</v>
      </c>
      <c r="J169" s="21" t="s">
        <v>657</v>
      </c>
      <c r="K169" s="43" t="s">
        <v>60</v>
      </c>
    </row>
    <row r="170" spans="1:11" ht="33.950000000000003" customHeight="1" x14ac:dyDescent="0.25">
      <c r="A170" s="17">
        <v>169</v>
      </c>
      <c r="B170" s="17" t="s">
        <v>658</v>
      </c>
      <c r="C170" s="17" t="s">
        <v>62</v>
      </c>
      <c r="D170" s="17" t="s">
        <v>659</v>
      </c>
      <c r="E170" s="42" t="s">
        <v>660</v>
      </c>
      <c r="F170" s="18">
        <v>82</v>
      </c>
      <c r="G170" s="19">
        <v>82</v>
      </c>
      <c r="H170" s="19">
        <v>88</v>
      </c>
      <c r="I170" s="20">
        <f t="shared" si="5"/>
        <v>83</v>
      </c>
      <c r="J170" s="17" t="s">
        <v>661</v>
      </c>
      <c r="K170" s="43" t="s">
        <v>60</v>
      </c>
    </row>
    <row r="171" spans="1:11" ht="33.950000000000003" customHeight="1" x14ac:dyDescent="0.25">
      <c r="A171" s="21">
        <v>170</v>
      </c>
      <c r="B171" s="21" t="s">
        <v>662</v>
      </c>
      <c r="C171" s="21" t="s">
        <v>96</v>
      </c>
      <c r="D171" s="21" t="s">
        <v>663</v>
      </c>
      <c r="E171" s="42" t="s">
        <v>664</v>
      </c>
      <c r="F171" s="22">
        <v>82</v>
      </c>
      <c r="G171" s="23">
        <v>82</v>
      </c>
      <c r="H171" s="23">
        <v>88</v>
      </c>
      <c r="I171" s="24">
        <f t="shared" si="5"/>
        <v>83</v>
      </c>
      <c r="J171" s="21" t="s">
        <v>665</v>
      </c>
      <c r="K171" s="43" t="s">
        <v>60</v>
      </c>
    </row>
    <row r="172" spans="1:11" ht="33.950000000000003" customHeight="1" x14ac:dyDescent="0.25">
      <c r="A172" s="17">
        <v>171</v>
      </c>
      <c r="B172" s="17" t="s">
        <v>666</v>
      </c>
      <c r="C172" s="17" t="s">
        <v>62</v>
      </c>
      <c r="D172" s="17" t="s">
        <v>667</v>
      </c>
      <c r="E172" s="42" t="s">
        <v>668</v>
      </c>
      <c r="F172" s="18">
        <v>81</v>
      </c>
      <c r="G172" s="19">
        <v>84</v>
      </c>
      <c r="H172" s="19">
        <v>86</v>
      </c>
      <c r="I172" s="20">
        <f t="shared" si="5"/>
        <v>83</v>
      </c>
      <c r="J172" s="17" t="s">
        <v>669</v>
      </c>
      <c r="K172" s="43" t="s">
        <v>60</v>
      </c>
    </row>
    <row r="173" spans="1:11" ht="33.950000000000003" customHeight="1" x14ac:dyDescent="0.25">
      <c r="A173" s="21">
        <v>172</v>
      </c>
      <c r="B173" s="21" t="s">
        <v>670</v>
      </c>
      <c r="C173" s="21" t="s">
        <v>105</v>
      </c>
      <c r="D173" s="21" t="s">
        <v>13</v>
      </c>
      <c r="E173" s="42" t="s">
        <v>671</v>
      </c>
      <c r="F173" s="22">
        <v>87</v>
      </c>
      <c r="G173" s="23">
        <v>84</v>
      </c>
      <c r="H173" s="23">
        <v>60</v>
      </c>
      <c r="I173" s="24">
        <f t="shared" si="5"/>
        <v>82</v>
      </c>
      <c r="J173" s="21" t="s">
        <v>672</v>
      </c>
      <c r="K173" s="43" t="s">
        <v>60</v>
      </c>
    </row>
    <row r="174" spans="1:11" ht="33.950000000000003" customHeight="1" x14ac:dyDescent="0.25">
      <c r="A174" s="17">
        <v>173</v>
      </c>
      <c r="B174" s="17" t="s">
        <v>673</v>
      </c>
      <c r="C174" s="17" t="s">
        <v>80</v>
      </c>
      <c r="D174" s="17" t="s">
        <v>13</v>
      </c>
      <c r="E174" s="42" t="s">
        <v>674</v>
      </c>
      <c r="F174" s="18">
        <v>87</v>
      </c>
      <c r="G174" s="19">
        <v>82</v>
      </c>
      <c r="H174" s="19">
        <v>66</v>
      </c>
      <c r="I174" s="20">
        <f t="shared" si="5"/>
        <v>82</v>
      </c>
      <c r="J174" s="17" t="s">
        <v>675</v>
      </c>
      <c r="K174" s="43" t="s">
        <v>16</v>
      </c>
    </row>
    <row r="175" spans="1:11" ht="33.950000000000003" customHeight="1" x14ac:dyDescent="0.25">
      <c r="A175" s="21">
        <v>174</v>
      </c>
      <c r="B175" s="21" t="s">
        <v>676</v>
      </c>
      <c r="C175" s="21" t="s">
        <v>62</v>
      </c>
      <c r="D175" s="21" t="s">
        <v>677</v>
      </c>
      <c r="E175" s="42" t="s">
        <v>678</v>
      </c>
      <c r="F175" s="22">
        <v>85</v>
      </c>
      <c r="G175" s="23">
        <v>81</v>
      </c>
      <c r="H175" s="23">
        <v>75</v>
      </c>
      <c r="I175" s="24">
        <f t="shared" si="5"/>
        <v>82</v>
      </c>
      <c r="J175" s="21" t="s">
        <v>679</v>
      </c>
      <c r="K175" s="43" t="s">
        <v>60</v>
      </c>
    </row>
    <row r="176" spans="1:11" ht="33.950000000000003" customHeight="1" x14ac:dyDescent="0.25">
      <c r="A176" s="17">
        <v>175</v>
      </c>
      <c r="B176" s="17" t="s">
        <v>680</v>
      </c>
      <c r="C176" s="17" t="s">
        <v>37</v>
      </c>
      <c r="D176" s="17" t="s">
        <v>63</v>
      </c>
      <c r="E176" s="42" t="s">
        <v>681</v>
      </c>
      <c r="F176" s="18">
        <v>84</v>
      </c>
      <c r="G176" s="19">
        <v>83</v>
      </c>
      <c r="H176" s="19">
        <v>74</v>
      </c>
      <c r="I176" s="20">
        <f t="shared" si="5"/>
        <v>82</v>
      </c>
      <c r="J176" s="17" t="s">
        <v>682</v>
      </c>
      <c r="K176" s="43" t="s">
        <v>60</v>
      </c>
    </row>
    <row r="177" spans="1:11" ht="33.950000000000003" customHeight="1" x14ac:dyDescent="0.25">
      <c r="A177" s="21">
        <v>176</v>
      </c>
      <c r="B177" s="21" t="s">
        <v>683</v>
      </c>
      <c r="C177" s="21" t="s">
        <v>164</v>
      </c>
      <c r="D177" s="21" t="s">
        <v>684</v>
      </c>
      <c r="E177" s="42" t="s">
        <v>685</v>
      </c>
      <c r="F177" s="22">
        <v>84</v>
      </c>
      <c r="G177" s="23">
        <v>82</v>
      </c>
      <c r="H177" s="23">
        <v>78</v>
      </c>
      <c r="I177" s="24">
        <f t="shared" si="5"/>
        <v>83</v>
      </c>
      <c r="J177" s="21" t="s">
        <v>686</v>
      </c>
      <c r="K177" s="43" t="s">
        <v>16</v>
      </c>
    </row>
    <row r="178" spans="1:11" ht="33.950000000000003" customHeight="1" x14ac:dyDescent="0.25">
      <c r="A178" s="17">
        <v>177</v>
      </c>
      <c r="B178" s="17" t="s">
        <v>687</v>
      </c>
      <c r="C178" s="17" t="s">
        <v>238</v>
      </c>
      <c r="D178" s="17" t="s">
        <v>13</v>
      </c>
      <c r="E178" s="42" t="s">
        <v>688</v>
      </c>
      <c r="F178" s="18">
        <v>84</v>
      </c>
      <c r="G178" s="19">
        <v>81</v>
      </c>
      <c r="H178" s="19">
        <v>76</v>
      </c>
      <c r="I178" s="20">
        <f t="shared" si="5"/>
        <v>82</v>
      </c>
      <c r="J178" s="17" t="s">
        <v>689</v>
      </c>
      <c r="K178" s="43" t="s">
        <v>60</v>
      </c>
    </row>
    <row r="179" spans="1:11" ht="33.950000000000003" customHeight="1" x14ac:dyDescent="0.25">
      <c r="A179" s="21">
        <v>178</v>
      </c>
      <c r="B179" s="21" t="s">
        <v>690</v>
      </c>
      <c r="C179" s="21" t="s">
        <v>225</v>
      </c>
      <c r="D179" s="21" t="s">
        <v>13</v>
      </c>
      <c r="E179" s="42" t="s">
        <v>691</v>
      </c>
      <c r="F179" s="22">
        <v>83</v>
      </c>
      <c r="G179" s="23">
        <v>84</v>
      </c>
      <c r="H179" s="23">
        <v>75</v>
      </c>
      <c r="I179" s="24">
        <f t="shared" si="5"/>
        <v>82</v>
      </c>
      <c r="J179" s="21" t="s">
        <v>692</v>
      </c>
      <c r="K179" s="43" t="s">
        <v>60</v>
      </c>
    </row>
    <row r="180" spans="1:11" ht="33.950000000000003" customHeight="1" x14ac:dyDescent="0.25">
      <c r="A180" s="17">
        <v>179</v>
      </c>
      <c r="B180" s="17" t="s">
        <v>693</v>
      </c>
      <c r="C180" s="17" t="s">
        <v>694</v>
      </c>
      <c r="D180" s="17" t="s">
        <v>695</v>
      </c>
      <c r="E180" s="42" t="s">
        <v>696</v>
      </c>
      <c r="F180" s="18">
        <v>83</v>
      </c>
      <c r="G180" s="19">
        <v>82</v>
      </c>
      <c r="H180" s="19">
        <v>80</v>
      </c>
      <c r="I180" s="20">
        <f t="shared" si="5"/>
        <v>82</v>
      </c>
      <c r="J180" s="17" t="s">
        <v>697</v>
      </c>
      <c r="K180" s="43" t="s">
        <v>60</v>
      </c>
    </row>
    <row r="181" spans="1:11" ht="33.950000000000003" customHeight="1" x14ac:dyDescent="0.25">
      <c r="A181" s="21">
        <v>180</v>
      </c>
      <c r="B181" s="21" t="s">
        <v>698</v>
      </c>
      <c r="C181" s="21" t="s">
        <v>62</v>
      </c>
      <c r="D181" s="21" t="s">
        <v>210</v>
      </c>
      <c r="E181" s="42" t="s">
        <v>699</v>
      </c>
      <c r="F181" s="22">
        <v>82</v>
      </c>
      <c r="G181" s="23">
        <v>85</v>
      </c>
      <c r="H181" s="23">
        <v>76</v>
      </c>
      <c r="I181" s="24">
        <f t="shared" si="5"/>
        <v>82</v>
      </c>
      <c r="J181" s="21" t="s">
        <v>700</v>
      </c>
      <c r="K181" s="43" t="s">
        <v>60</v>
      </c>
    </row>
    <row r="182" spans="1:11" ht="33.950000000000003" customHeight="1" x14ac:dyDescent="0.25">
      <c r="A182" s="17">
        <v>181</v>
      </c>
      <c r="B182" s="17" t="s">
        <v>701</v>
      </c>
      <c r="C182" s="17" t="s">
        <v>531</v>
      </c>
      <c r="D182" s="17" t="s">
        <v>702</v>
      </c>
      <c r="E182" s="42" t="s">
        <v>703</v>
      </c>
      <c r="F182" s="18">
        <v>82</v>
      </c>
      <c r="G182" s="19">
        <v>82</v>
      </c>
      <c r="H182" s="19">
        <v>82</v>
      </c>
      <c r="I182" s="20">
        <f t="shared" si="5"/>
        <v>82</v>
      </c>
      <c r="J182" s="17" t="s">
        <v>704</v>
      </c>
      <c r="K182" s="43" t="s">
        <v>60</v>
      </c>
    </row>
    <row r="183" spans="1:11" ht="33.950000000000003" customHeight="1" x14ac:dyDescent="0.25">
      <c r="A183" s="21">
        <v>182</v>
      </c>
      <c r="B183" s="21" t="s">
        <v>705</v>
      </c>
      <c r="C183" s="21" t="s">
        <v>28</v>
      </c>
      <c r="D183" s="21" t="s">
        <v>706</v>
      </c>
      <c r="E183" s="42" t="s">
        <v>707</v>
      </c>
      <c r="F183" s="22">
        <v>82</v>
      </c>
      <c r="G183" s="23">
        <v>81</v>
      </c>
      <c r="H183" s="23">
        <v>87</v>
      </c>
      <c r="I183" s="24">
        <f t="shared" si="5"/>
        <v>82</v>
      </c>
      <c r="J183" s="21" t="s">
        <v>708</v>
      </c>
      <c r="K183" s="43" t="s">
        <v>60</v>
      </c>
    </row>
    <row r="184" spans="1:11" ht="33.950000000000003" customHeight="1" x14ac:dyDescent="0.25">
      <c r="A184" s="17">
        <v>183</v>
      </c>
      <c r="B184" s="17" t="s">
        <v>709</v>
      </c>
      <c r="C184" s="17" t="s">
        <v>62</v>
      </c>
      <c r="D184" s="17" t="s">
        <v>710</v>
      </c>
      <c r="E184" s="42" t="s">
        <v>711</v>
      </c>
      <c r="F184" s="18">
        <v>82</v>
      </c>
      <c r="G184" s="19">
        <v>81</v>
      </c>
      <c r="H184" s="19">
        <v>84</v>
      </c>
      <c r="I184" s="20">
        <f t="shared" si="5"/>
        <v>82</v>
      </c>
      <c r="J184" s="17" t="s">
        <v>712</v>
      </c>
      <c r="K184" s="43" t="s">
        <v>60</v>
      </c>
    </row>
    <row r="185" spans="1:11" ht="33.950000000000003" customHeight="1" x14ac:dyDescent="0.25">
      <c r="A185" s="21">
        <v>184</v>
      </c>
      <c r="B185" s="21" t="s">
        <v>713</v>
      </c>
      <c r="C185" s="21" t="s">
        <v>96</v>
      </c>
      <c r="D185" s="21" t="s">
        <v>714</v>
      </c>
      <c r="E185" s="42" t="s">
        <v>715</v>
      </c>
      <c r="F185" s="22">
        <v>82</v>
      </c>
      <c r="G185" s="23">
        <v>81</v>
      </c>
      <c r="H185" s="23">
        <v>84</v>
      </c>
      <c r="I185" s="24">
        <f t="shared" si="5"/>
        <v>82</v>
      </c>
      <c r="J185" s="21" t="s">
        <v>716</v>
      </c>
      <c r="K185" s="43" t="s">
        <v>60</v>
      </c>
    </row>
    <row r="186" spans="1:11" ht="33.950000000000003" customHeight="1" x14ac:dyDescent="0.25">
      <c r="A186" s="17">
        <v>185</v>
      </c>
      <c r="B186" s="17" t="s">
        <v>717</v>
      </c>
      <c r="C186" s="17" t="s">
        <v>338</v>
      </c>
      <c r="D186" s="17" t="s">
        <v>644</v>
      </c>
      <c r="E186" s="42" t="s">
        <v>718</v>
      </c>
      <c r="F186" s="18">
        <v>89</v>
      </c>
      <c r="G186" s="19">
        <v>81</v>
      </c>
      <c r="H186" s="19">
        <v>50</v>
      </c>
      <c r="I186" s="20">
        <f t="shared" si="5"/>
        <v>81</v>
      </c>
      <c r="J186" s="17" t="s">
        <v>719</v>
      </c>
      <c r="K186" s="43" t="s">
        <v>60</v>
      </c>
    </row>
    <row r="187" spans="1:11" ht="33.950000000000003" customHeight="1" x14ac:dyDescent="0.25">
      <c r="A187" s="21">
        <v>186</v>
      </c>
      <c r="B187" s="21" t="s">
        <v>720</v>
      </c>
      <c r="C187" s="21" t="s">
        <v>270</v>
      </c>
      <c r="D187" s="21" t="s">
        <v>721</v>
      </c>
      <c r="E187" s="42" t="s">
        <v>722</v>
      </c>
      <c r="F187" s="22">
        <v>88</v>
      </c>
      <c r="G187" s="23">
        <v>80</v>
      </c>
      <c r="H187" s="23">
        <v>55</v>
      </c>
      <c r="I187" s="24">
        <f t="shared" si="5"/>
        <v>81</v>
      </c>
      <c r="J187" s="21" t="s">
        <v>723</v>
      </c>
      <c r="K187" s="43" t="s">
        <v>16</v>
      </c>
    </row>
    <row r="188" spans="1:11" ht="33.950000000000003" customHeight="1" x14ac:dyDescent="0.25">
      <c r="A188" s="17">
        <v>187</v>
      </c>
      <c r="B188" s="17" t="s">
        <v>724</v>
      </c>
      <c r="C188" s="17" t="s">
        <v>338</v>
      </c>
      <c r="D188" s="17" t="s">
        <v>725</v>
      </c>
      <c r="E188" s="42" t="s">
        <v>726</v>
      </c>
      <c r="F188" s="18">
        <v>84</v>
      </c>
      <c r="G188" s="19">
        <v>80</v>
      </c>
      <c r="H188" s="19">
        <v>72</v>
      </c>
      <c r="I188" s="20">
        <f t="shared" si="5"/>
        <v>81</v>
      </c>
      <c r="J188" s="17" t="s">
        <v>727</v>
      </c>
      <c r="K188" s="43" t="s">
        <v>60</v>
      </c>
    </row>
    <row r="189" spans="1:11" ht="33.950000000000003" customHeight="1" x14ac:dyDescent="0.25">
      <c r="A189" s="21">
        <v>188</v>
      </c>
      <c r="B189" s="21" t="s">
        <v>728</v>
      </c>
      <c r="C189" s="21" t="s">
        <v>380</v>
      </c>
      <c r="D189" s="21" t="s">
        <v>729</v>
      </c>
      <c r="E189" s="42" t="s">
        <v>730</v>
      </c>
      <c r="F189" s="22">
        <v>84</v>
      </c>
      <c r="G189" s="23">
        <v>80</v>
      </c>
      <c r="H189" s="23">
        <v>72</v>
      </c>
      <c r="I189" s="24">
        <f t="shared" si="5"/>
        <v>81</v>
      </c>
      <c r="J189" s="21" t="s">
        <v>731</v>
      </c>
      <c r="K189" s="43" t="s">
        <v>60</v>
      </c>
    </row>
    <row r="190" spans="1:11" ht="33.950000000000003" customHeight="1" x14ac:dyDescent="0.25">
      <c r="A190" s="17">
        <v>189</v>
      </c>
      <c r="B190" s="17" t="s">
        <v>732</v>
      </c>
      <c r="C190" s="17" t="s">
        <v>733</v>
      </c>
      <c r="D190" s="17" t="s">
        <v>442</v>
      </c>
      <c r="E190" s="42" t="s">
        <v>734</v>
      </c>
      <c r="F190" s="18">
        <v>83</v>
      </c>
      <c r="G190" s="19">
        <v>81</v>
      </c>
      <c r="H190" s="19">
        <v>76</v>
      </c>
      <c r="I190" s="20">
        <f t="shared" si="5"/>
        <v>81</v>
      </c>
      <c r="J190" s="17" t="s">
        <v>735</v>
      </c>
      <c r="K190" s="43" t="s">
        <v>60</v>
      </c>
    </row>
    <row r="191" spans="1:11" ht="33.950000000000003" customHeight="1" x14ac:dyDescent="0.25">
      <c r="A191" s="21">
        <v>190</v>
      </c>
      <c r="B191" s="21" t="s">
        <v>736</v>
      </c>
      <c r="C191" s="21" t="s">
        <v>238</v>
      </c>
      <c r="D191" s="21" t="s">
        <v>737</v>
      </c>
      <c r="E191" s="42" t="s">
        <v>738</v>
      </c>
      <c r="F191" s="22">
        <v>83</v>
      </c>
      <c r="G191" s="23">
        <v>79</v>
      </c>
      <c r="H191" s="23">
        <v>76</v>
      </c>
      <c r="I191" s="24">
        <f t="shared" si="5"/>
        <v>81</v>
      </c>
      <c r="J191" s="21" t="s">
        <v>739</v>
      </c>
      <c r="K191" s="43" t="s">
        <v>60</v>
      </c>
    </row>
    <row r="192" spans="1:11" ht="33.950000000000003" customHeight="1" x14ac:dyDescent="0.25">
      <c r="A192" s="17">
        <v>191</v>
      </c>
      <c r="B192" s="17" t="s">
        <v>740</v>
      </c>
      <c r="C192" s="17" t="s">
        <v>741</v>
      </c>
      <c r="D192" s="17" t="s">
        <v>742</v>
      </c>
      <c r="E192" s="42" t="s">
        <v>743</v>
      </c>
      <c r="F192" s="18">
        <v>82</v>
      </c>
      <c r="G192" s="19">
        <v>80</v>
      </c>
      <c r="H192" s="19">
        <v>80</v>
      </c>
      <c r="I192" s="20">
        <f t="shared" si="5"/>
        <v>81</v>
      </c>
      <c r="J192" s="17" t="s">
        <v>744</v>
      </c>
      <c r="K192" s="43" t="s">
        <v>60</v>
      </c>
    </row>
    <row r="193" spans="1:11" ht="33.950000000000003" customHeight="1" x14ac:dyDescent="0.25">
      <c r="A193" s="21">
        <v>192</v>
      </c>
      <c r="B193" s="21" t="s">
        <v>745</v>
      </c>
      <c r="C193" s="21" t="s">
        <v>28</v>
      </c>
      <c r="D193" s="21" t="s">
        <v>33</v>
      </c>
      <c r="E193" s="42" t="s">
        <v>746</v>
      </c>
      <c r="F193" s="22">
        <v>81</v>
      </c>
      <c r="G193" s="23">
        <v>80</v>
      </c>
      <c r="H193" s="23">
        <v>84</v>
      </c>
      <c r="I193" s="24">
        <f t="shared" si="5"/>
        <v>81</v>
      </c>
      <c r="J193" s="21" t="s">
        <v>747</v>
      </c>
      <c r="K193" s="43" t="s">
        <v>60</v>
      </c>
    </row>
    <row r="194" spans="1:11" ht="33.950000000000003" customHeight="1" x14ac:dyDescent="0.25">
      <c r="A194" s="17">
        <v>193</v>
      </c>
      <c r="B194" s="17" t="s">
        <v>748</v>
      </c>
      <c r="C194" s="17" t="s">
        <v>37</v>
      </c>
      <c r="D194" s="17" t="s">
        <v>610</v>
      </c>
      <c r="E194" s="42" t="s">
        <v>749</v>
      </c>
      <c r="F194" s="18">
        <v>85</v>
      </c>
      <c r="G194" s="19">
        <v>80</v>
      </c>
      <c r="H194" s="19">
        <v>62</v>
      </c>
      <c r="I194" s="20">
        <f t="shared" ref="I194:I225" si="6">ROUND(F194*0.55+G194*0.3+H194*0.15,0)</f>
        <v>80</v>
      </c>
      <c r="J194" s="17" t="s">
        <v>750</v>
      </c>
      <c r="K194" s="43" t="s">
        <v>16</v>
      </c>
    </row>
    <row r="195" spans="1:11" ht="33.950000000000003" customHeight="1" x14ac:dyDescent="0.25">
      <c r="A195" s="21">
        <v>194</v>
      </c>
      <c r="B195" s="21" t="s">
        <v>751</v>
      </c>
      <c r="C195" s="21" t="s">
        <v>752</v>
      </c>
      <c r="D195" s="21" t="s">
        <v>753</v>
      </c>
      <c r="E195" s="42" t="s">
        <v>754</v>
      </c>
      <c r="F195" s="22">
        <v>85</v>
      </c>
      <c r="G195" s="23">
        <v>80</v>
      </c>
      <c r="H195" s="23">
        <v>60</v>
      </c>
      <c r="I195" s="24">
        <f t="shared" si="6"/>
        <v>80</v>
      </c>
      <c r="J195" s="21" t="s">
        <v>755</v>
      </c>
      <c r="K195" s="43" t="s">
        <v>60</v>
      </c>
    </row>
    <row r="196" spans="1:11" ht="33.950000000000003" customHeight="1" x14ac:dyDescent="0.25">
      <c r="A196" s="17">
        <v>195</v>
      </c>
      <c r="B196" s="17" t="s">
        <v>756</v>
      </c>
      <c r="C196" s="17" t="s">
        <v>37</v>
      </c>
      <c r="D196" s="17" t="s">
        <v>757</v>
      </c>
      <c r="E196" s="42" t="s">
        <v>758</v>
      </c>
      <c r="F196" s="18">
        <v>83</v>
      </c>
      <c r="G196" s="19">
        <v>80</v>
      </c>
      <c r="H196" s="19">
        <v>72</v>
      </c>
      <c r="I196" s="20">
        <f t="shared" si="6"/>
        <v>80</v>
      </c>
      <c r="J196" s="17" t="s">
        <v>759</v>
      </c>
      <c r="K196" s="43" t="s">
        <v>60</v>
      </c>
    </row>
    <row r="197" spans="1:11" ht="33.950000000000003" customHeight="1" x14ac:dyDescent="0.25">
      <c r="A197" s="21">
        <v>196</v>
      </c>
      <c r="B197" s="21" t="s">
        <v>760</v>
      </c>
      <c r="C197" s="21" t="s">
        <v>96</v>
      </c>
      <c r="D197" s="21" t="s">
        <v>761</v>
      </c>
      <c r="E197" s="42" t="s">
        <v>762</v>
      </c>
      <c r="F197" s="22">
        <v>82</v>
      </c>
      <c r="G197" s="23">
        <v>80</v>
      </c>
      <c r="H197" s="23">
        <v>76</v>
      </c>
      <c r="I197" s="24">
        <f t="shared" si="6"/>
        <v>81</v>
      </c>
      <c r="J197" s="21" t="s">
        <v>763</v>
      </c>
      <c r="K197" s="43" t="s">
        <v>60</v>
      </c>
    </row>
    <row r="198" spans="1:11" ht="33.950000000000003" customHeight="1" x14ac:dyDescent="0.25">
      <c r="A198" s="17">
        <v>197</v>
      </c>
      <c r="B198" s="17" t="s">
        <v>764</v>
      </c>
      <c r="C198" s="17" t="s">
        <v>380</v>
      </c>
      <c r="D198" s="17" t="s">
        <v>765</v>
      </c>
      <c r="E198" s="42" t="s">
        <v>766</v>
      </c>
      <c r="F198" s="18">
        <v>82</v>
      </c>
      <c r="G198" s="19">
        <v>78</v>
      </c>
      <c r="H198" s="19">
        <v>80</v>
      </c>
      <c r="I198" s="20">
        <f t="shared" si="6"/>
        <v>81</v>
      </c>
      <c r="J198" s="17" t="s">
        <v>767</v>
      </c>
      <c r="K198" s="43" t="s">
        <v>60</v>
      </c>
    </row>
    <row r="199" spans="1:11" ht="33.950000000000003" customHeight="1" x14ac:dyDescent="0.25">
      <c r="A199" s="21">
        <v>198</v>
      </c>
      <c r="B199" s="21" t="s">
        <v>768</v>
      </c>
      <c r="C199" s="21" t="s">
        <v>18</v>
      </c>
      <c r="D199" s="21" t="s">
        <v>769</v>
      </c>
      <c r="E199" s="42" t="s">
        <v>770</v>
      </c>
      <c r="F199" s="22">
        <v>82</v>
      </c>
      <c r="G199" s="23">
        <v>78</v>
      </c>
      <c r="H199" s="23">
        <v>78</v>
      </c>
      <c r="I199" s="24">
        <f t="shared" si="6"/>
        <v>80</v>
      </c>
      <c r="J199" s="21" t="s">
        <v>771</v>
      </c>
      <c r="K199" s="43" t="s">
        <v>60</v>
      </c>
    </row>
    <row r="200" spans="1:11" ht="33.950000000000003" customHeight="1" x14ac:dyDescent="0.25">
      <c r="A200" s="17">
        <v>199</v>
      </c>
      <c r="B200" s="17" t="s">
        <v>772</v>
      </c>
      <c r="C200" s="17" t="s">
        <v>105</v>
      </c>
      <c r="D200" s="17" t="s">
        <v>24</v>
      </c>
      <c r="E200" s="42" t="s">
        <v>773</v>
      </c>
      <c r="F200" s="18">
        <v>84</v>
      </c>
      <c r="G200" s="19">
        <v>79</v>
      </c>
      <c r="H200" s="19">
        <v>60</v>
      </c>
      <c r="I200" s="20">
        <f t="shared" si="6"/>
        <v>79</v>
      </c>
      <c r="J200" s="17" t="s">
        <v>774</v>
      </c>
      <c r="K200" s="43" t="s">
        <v>16</v>
      </c>
    </row>
    <row r="201" spans="1:11" ht="33.950000000000003" customHeight="1" x14ac:dyDescent="0.25">
      <c r="A201" s="21">
        <v>200</v>
      </c>
      <c r="B201" s="21" t="s">
        <v>775</v>
      </c>
      <c r="C201" s="21" t="s">
        <v>23</v>
      </c>
      <c r="D201" s="21" t="s">
        <v>631</v>
      </c>
      <c r="E201" s="42" t="s">
        <v>776</v>
      </c>
      <c r="F201" s="22">
        <v>86</v>
      </c>
      <c r="G201" s="23">
        <v>79</v>
      </c>
      <c r="H201" s="23">
        <v>50</v>
      </c>
      <c r="I201" s="24">
        <f t="shared" si="6"/>
        <v>79</v>
      </c>
      <c r="J201" s="21" t="s">
        <v>777</v>
      </c>
      <c r="K201" s="43" t="s">
        <v>16</v>
      </c>
    </row>
  </sheetData>
  <conditionalFormatting sqref="I2:I201">
    <cfRule type="colorScale" priority="1">
      <colorScale>
        <cfvo type="min"/>
        <cfvo type="percentile" val="55"/>
        <cfvo type="max"/>
        <color rgb="FFF8696B"/>
        <color rgb="FFFFEB84"/>
        <color rgb="FF63BE7B"/>
      </colorScale>
    </cfRule>
  </conditionalFormatting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1"/>
  <sheetViews>
    <sheetView showGridLines="0" topLeftCell="C1" workbookViewId="0">
      <pane ySplit="1" topLeftCell="A2" activePane="bottomLeft" state="frozen"/>
      <selection pane="bottomLeft" activeCell="H5" sqref="H5"/>
    </sheetView>
  </sheetViews>
  <sheetFormatPr defaultRowHeight="15" x14ac:dyDescent="0.25"/>
  <cols>
    <col min="1" max="1" width="8" customWidth="1"/>
    <col min="2" max="2" width="28" customWidth="1"/>
    <col min="3" max="3" width="18" customWidth="1"/>
    <col min="4" max="4" width="55" customWidth="1"/>
    <col min="5" max="5" width="44" customWidth="1"/>
    <col min="6" max="7" width="13" customWidth="1"/>
    <col min="8" max="8" width="15" customWidth="1"/>
    <col min="9" max="9" width="14" customWidth="1"/>
    <col min="10" max="10" width="76" customWidth="1"/>
    <col min="11" max="11" width="18" customWidth="1"/>
  </cols>
  <sheetData>
    <row r="1" spans="1:11" ht="30" customHeight="1" x14ac:dyDescent="0.25">
      <c r="A1" s="4" t="s">
        <v>0</v>
      </c>
      <c r="B1" s="4" t="s">
        <v>1</v>
      </c>
      <c r="C1" s="4" t="s">
        <v>2</v>
      </c>
      <c r="D1" s="4" t="s">
        <v>796</v>
      </c>
      <c r="E1" s="4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1" t="s">
        <v>10</v>
      </c>
    </row>
    <row r="2" spans="1:11" ht="33.950000000000003" customHeight="1" x14ac:dyDescent="0.25">
      <c r="A2" s="25">
        <v>1</v>
      </c>
      <c r="B2" s="25" t="s">
        <v>797</v>
      </c>
      <c r="C2" s="25" t="s">
        <v>752</v>
      </c>
      <c r="D2" s="25" t="s">
        <v>798</v>
      </c>
      <c r="E2" s="44" t="s">
        <v>799</v>
      </c>
      <c r="F2" s="6">
        <v>100</v>
      </c>
      <c r="G2" s="7">
        <v>100</v>
      </c>
      <c r="H2" s="7">
        <v>98</v>
      </c>
      <c r="I2" s="26">
        <f t="shared" ref="I2:I33" si="0">ROUND(F2*0.55+G2*0.3+H2*0.15,0)</f>
        <v>100</v>
      </c>
      <c r="J2" s="25" t="s">
        <v>800</v>
      </c>
      <c r="K2" s="43" t="s">
        <v>16</v>
      </c>
    </row>
    <row r="3" spans="1:11" ht="33.950000000000003" customHeight="1" x14ac:dyDescent="0.25">
      <c r="A3" s="25">
        <v>2</v>
      </c>
      <c r="B3" s="25" t="s">
        <v>41</v>
      </c>
      <c r="C3" s="25" t="s">
        <v>176</v>
      </c>
      <c r="D3" s="25" t="s">
        <v>801</v>
      </c>
      <c r="E3" s="44" t="s">
        <v>802</v>
      </c>
      <c r="F3" s="6">
        <v>100</v>
      </c>
      <c r="G3" s="7">
        <v>100</v>
      </c>
      <c r="H3" s="7">
        <v>95</v>
      </c>
      <c r="I3" s="26">
        <f t="shared" si="0"/>
        <v>99</v>
      </c>
      <c r="J3" s="25" t="s">
        <v>800</v>
      </c>
      <c r="K3" s="43" t="s">
        <v>16</v>
      </c>
    </row>
    <row r="4" spans="1:11" ht="33.950000000000003" customHeight="1" x14ac:dyDescent="0.25">
      <c r="A4" s="25">
        <v>3</v>
      </c>
      <c r="B4" s="25" t="s">
        <v>803</v>
      </c>
      <c r="C4" s="25" t="s">
        <v>804</v>
      </c>
      <c r="D4" s="25" t="s">
        <v>805</v>
      </c>
      <c r="E4" s="44" t="s">
        <v>806</v>
      </c>
      <c r="F4" s="6">
        <v>99</v>
      </c>
      <c r="G4" s="7">
        <v>99</v>
      </c>
      <c r="H4" s="7">
        <v>95</v>
      </c>
      <c r="I4" s="26">
        <f t="shared" si="0"/>
        <v>98</v>
      </c>
      <c r="J4" s="25" t="s">
        <v>800</v>
      </c>
      <c r="K4" s="43" t="s">
        <v>16</v>
      </c>
    </row>
    <row r="5" spans="1:11" ht="33.950000000000003" customHeight="1" x14ac:dyDescent="0.25">
      <c r="A5" s="25">
        <v>4</v>
      </c>
      <c r="B5" s="25" t="s">
        <v>807</v>
      </c>
      <c r="C5" s="25" t="s">
        <v>37</v>
      </c>
      <c r="D5" s="25" t="s">
        <v>798</v>
      </c>
      <c r="E5" s="44" t="s">
        <v>808</v>
      </c>
      <c r="F5" s="6">
        <v>99</v>
      </c>
      <c r="G5" s="7">
        <v>99</v>
      </c>
      <c r="H5" s="7">
        <v>94</v>
      </c>
      <c r="I5" s="26">
        <f t="shared" si="0"/>
        <v>98</v>
      </c>
      <c r="J5" s="25" t="s">
        <v>800</v>
      </c>
      <c r="K5" s="43" t="s">
        <v>16</v>
      </c>
    </row>
    <row r="6" spans="1:11" ht="33.950000000000003" customHeight="1" x14ac:dyDescent="0.25">
      <c r="A6" s="25">
        <v>5</v>
      </c>
      <c r="B6" s="25" t="s">
        <v>809</v>
      </c>
      <c r="C6" s="25" t="s">
        <v>28</v>
      </c>
      <c r="D6" s="25" t="s">
        <v>798</v>
      </c>
      <c r="E6" s="44" t="s">
        <v>810</v>
      </c>
      <c r="F6" s="6">
        <v>99</v>
      </c>
      <c r="G6" s="7">
        <v>99</v>
      </c>
      <c r="H6" s="7">
        <v>94</v>
      </c>
      <c r="I6" s="26">
        <f t="shared" si="0"/>
        <v>98</v>
      </c>
      <c r="J6" s="25" t="s">
        <v>800</v>
      </c>
      <c r="K6" s="43" t="s">
        <v>16</v>
      </c>
    </row>
    <row r="7" spans="1:11" ht="33.950000000000003" customHeight="1" x14ac:dyDescent="0.25">
      <c r="A7" s="25">
        <v>6</v>
      </c>
      <c r="B7" s="25" t="s">
        <v>811</v>
      </c>
      <c r="C7" s="25" t="s">
        <v>733</v>
      </c>
      <c r="D7" s="25" t="s">
        <v>798</v>
      </c>
      <c r="E7" s="44" t="s">
        <v>812</v>
      </c>
      <c r="F7" s="6">
        <v>99</v>
      </c>
      <c r="G7" s="7">
        <v>98</v>
      </c>
      <c r="H7" s="7">
        <v>93</v>
      </c>
      <c r="I7" s="26">
        <f t="shared" si="0"/>
        <v>98</v>
      </c>
      <c r="J7" s="25" t="s">
        <v>800</v>
      </c>
      <c r="K7" s="43" t="s">
        <v>16</v>
      </c>
    </row>
    <row r="8" spans="1:11" ht="33.950000000000003" customHeight="1" x14ac:dyDescent="0.25">
      <c r="A8" s="25">
        <v>7</v>
      </c>
      <c r="B8" s="25" t="s">
        <v>813</v>
      </c>
      <c r="C8" s="25" t="s">
        <v>80</v>
      </c>
      <c r="D8" s="25" t="s">
        <v>801</v>
      </c>
      <c r="E8" s="44" t="s">
        <v>814</v>
      </c>
      <c r="F8" s="6">
        <v>99</v>
      </c>
      <c r="G8" s="7">
        <v>98</v>
      </c>
      <c r="H8" s="7">
        <v>93</v>
      </c>
      <c r="I8" s="26">
        <f t="shared" si="0"/>
        <v>98</v>
      </c>
      <c r="J8" s="25" t="s">
        <v>800</v>
      </c>
      <c r="K8" s="43" t="s">
        <v>16</v>
      </c>
    </row>
    <row r="9" spans="1:11" ht="33.950000000000003" customHeight="1" x14ac:dyDescent="0.25">
      <c r="A9" s="25">
        <v>8</v>
      </c>
      <c r="B9" s="25" t="s">
        <v>815</v>
      </c>
      <c r="C9" s="25" t="s">
        <v>164</v>
      </c>
      <c r="D9" s="25" t="s">
        <v>798</v>
      </c>
      <c r="E9" s="44" t="s">
        <v>816</v>
      </c>
      <c r="F9" s="6">
        <v>99</v>
      </c>
      <c r="G9" s="7">
        <v>98</v>
      </c>
      <c r="H9" s="7">
        <v>93</v>
      </c>
      <c r="I9" s="26">
        <f t="shared" si="0"/>
        <v>98</v>
      </c>
      <c r="J9" s="25" t="s">
        <v>800</v>
      </c>
      <c r="K9" s="43" t="s">
        <v>16</v>
      </c>
    </row>
    <row r="10" spans="1:11" ht="33.950000000000003" customHeight="1" x14ac:dyDescent="0.25">
      <c r="A10" s="25">
        <v>9</v>
      </c>
      <c r="B10" s="25" t="s">
        <v>157</v>
      </c>
      <c r="C10" s="25" t="s">
        <v>18</v>
      </c>
      <c r="D10" s="25" t="s">
        <v>817</v>
      </c>
      <c r="E10" s="44" t="s">
        <v>818</v>
      </c>
      <c r="F10" s="6">
        <v>98</v>
      </c>
      <c r="G10" s="7">
        <v>97</v>
      </c>
      <c r="H10" s="7">
        <v>92</v>
      </c>
      <c r="I10" s="26">
        <f t="shared" si="0"/>
        <v>97</v>
      </c>
      <c r="J10" s="25" t="s">
        <v>800</v>
      </c>
      <c r="K10" s="43" t="s">
        <v>16</v>
      </c>
    </row>
    <row r="11" spans="1:11" ht="33.950000000000003" customHeight="1" x14ac:dyDescent="0.25">
      <c r="A11" s="25">
        <v>10</v>
      </c>
      <c r="B11" s="25" t="s">
        <v>819</v>
      </c>
      <c r="C11" s="25" t="s">
        <v>18</v>
      </c>
      <c r="D11" s="25" t="s">
        <v>801</v>
      </c>
      <c r="E11" s="44" t="s">
        <v>820</v>
      </c>
      <c r="F11" s="6">
        <v>98</v>
      </c>
      <c r="G11" s="7">
        <v>97</v>
      </c>
      <c r="H11" s="7">
        <v>92</v>
      </c>
      <c r="I11" s="26">
        <f t="shared" si="0"/>
        <v>97</v>
      </c>
      <c r="J11" s="25" t="s">
        <v>800</v>
      </c>
      <c r="K11" s="43" t="s">
        <v>16</v>
      </c>
    </row>
    <row r="12" spans="1:11" ht="33.950000000000003" customHeight="1" x14ac:dyDescent="0.25">
      <c r="A12" s="27">
        <v>11</v>
      </c>
      <c r="B12" s="27" t="s">
        <v>821</v>
      </c>
      <c r="C12" s="27" t="s">
        <v>197</v>
      </c>
      <c r="D12" s="27" t="s">
        <v>801</v>
      </c>
      <c r="E12" s="44" t="s">
        <v>822</v>
      </c>
      <c r="F12" s="10">
        <v>97</v>
      </c>
      <c r="G12" s="11">
        <v>96</v>
      </c>
      <c r="H12" s="11">
        <v>91</v>
      </c>
      <c r="I12" s="28">
        <f t="shared" si="0"/>
        <v>96</v>
      </c>
      <c r="J12" s="27" t="s">
        <v>800</v>
      </c>
      <c r="K12" s="43" t="s">
        <v>16</v>
      </c>
    </row>
    <row r="13" spans="1:11" ht="33.950000000000003" customHeight="1" x14ac:dyDescent="0.25">
      <c r="A13" s="27">
        <v>12</v>
      </c>
      <c r="B13" s="27" t="s">
        <v>823</v>
      </c>
      <c r="C13" s="27" t="s">
        <v>18</v>
      </c>
      <c r="D13" s="27" t="s">
        <v>801</v>
      </c>
      <c r="E13" s="44" t="s">
        <v>824</v>
      </c>
      <c r="F13" s="10">
        <v>97</v>
      </c>
      <c r="G13" s="11">
        <v>96</v>
      </c>
      <c r="H13" s="11">
        <v>91</v>
      </c>
      <c r="I13" s="28">
        <f t="shared" si="0"/>
        <v>96</v>
      </c>
      <c r="J13" s="27" t="s">
        <v>800</v>
      </c>
      <c r="K13" s="43" t="s">
        <v>16</v>
      </c>
    </row>
    <row r="14" spans="1:11" ht="33.950000000000003" customHeight="1" x14ac:dyDescent="0.25">
      <c r="A14" s="27">
        <v>13</v>
      </c>
      <c r="B14" s="27" t="s">
        <v>825</v>
      </c>
      <c r="C14" s="27" t="s">
        <v>62</v>
      </c>
      <c r="D14" s="27" t="s">
        <v>826</v>
      </c>
      <c r="E14" s="44" t="s">
        <v>827</v>
      </c>
      <c r="F14" s="10">
        <v>97</v>
      </c>
      <c r="G14" s="11">
        <v>96</v>
      </c>
      <c r="H14" s="11">
        <v>91</v>
      </c>
      <c r="I14" s="28">
        <f t="shared" si="0"/>
        <v>96</v>
      </c>
      <c r="J14" s="27" t="s">
        <v>800</v>
      </c>
      <c r="K14" s="43" t="s">
        <v>16</v>
      </c>
    </row>
    <row r="15" spans="1:11" ht="33.950000000000003" customHeight="1" x14ac:dyDescent="0.25">
      <c r="A15" s="27">
        <v>14</v>
      </c>
      <c r="B15" s="27" t="s">
        <v>828</v>
      </c>
      <c r="C15" s="27" t="s">
        <v>96</v>
      </c>
      <c r="D15" s="27" t="s">
        <v>801</v>
      </c>
      <c r="E15" s="44" t="s">
        <v>829</v>
      </c>
      <c r="F15" s="10">
        <v>97</v>
      </c>
      <c r="G15" s="11">
        <v>96</v>
      </c>
      <c r="H15" s="11">
        <v>91</v>
      </c>
      <c r="I15" s="28">
        <f t="shared" si="0"/>
        <v>96</v>
      </c>
      <c r="J15" s="27" t="s">
        <v>800</v>
      </c>
      <c r="K15" s="43" t="s">
        <v>16</v>
      </c>
    </row>
    <row r="16" spans="1:11" ht="33.950000000000003" customHeight="1" x14ac:dyDescent="0.25">
      <c r="A16" s="27">
        <v>15</v>
      </c>
      <c r="B16" s="27" t="s">
        <v>324</v>
      </c>
      <c r="C16" s="27" t="s">
        <v>37</v>
      </c>
      <c r="D16" s="27" t="s">
        <v>801</v>
      </c>
      <c r="E16" s="44" t="s">
        <v>830</v>
      </c>
      <c r="F16" s="10">
        <v>97</v>
      </c>
      <c r="G16" s="11">
        <v>96</v>
      </c>
      <c r="H16" s="11">
        <v>91</v>
      </c>
      <c r="I16" s="28">
        <f t="shared" si="0"/>
        <v>96</v>
      </c>
      <c r="J16" s="27" t="s">
        <v>800</v>
      </c>
      <c r="K16" s="43" t="s">
        <v>16</v>
      </c>
    </row>
    <row r="17" spans="1:11" ht="33.950000000000003" customHeight="1" x14ac:dyDescent="0.25">
      <c r="A17" s="27">
        <v>16</v>
      </c>
      <c r="B17" s="27" t="s">
        <v>831</v>
      </c>
      <c r="C17" s="27" t="s">
        <v>137</v>
      </c>
      <c r="D17" s="27" t="s">
        <v>798</v>
      </c>
      <c r="E17" s="44" t="s">
        <v>832</v>
      </c>
      <c r="F17" s="10">
        <v>96</v>
      </c>
      <c r="G17" s="11">
        <v>95</v>
      </c>
      <c r="H17" s="11">
        <v>90</v>
      </c>
      <c r="I17" s="28">
        <f t="shared" si="0"/>
        <v>95</v>
      </c>
      <c r="J17" s="27" t="s">
        <v>800</v>
      </c>
      <c r="K17" s="43" t="s">
        <v>16</v>
      </c>
    </row>
    <row r="18" spans="1:11" ht="33.950000000000003" customHeight="1" x14ac:dyDescent="0.25">
      <c r="A18" s="27">
        <v>17</v>
      </c>
      <c r="B18" s="27" t="s">
        <v>331</v>
      </c>
      <c r="C18" s="27" t="s">
        <v>122</v>
      </c>
      <c r="D18" s="27" t="s">
        <v>833</v>
      </c>
      <c r="E18" s="44" t="s">
        <v>834</v>
      </c>
      <c r="F18" s="10">
        <v>96</v>
      </c>
      <c r="G18" s="11">
        <v>95</v>
      </c>
      <c r="H18" s="11">
        <v>90</v>
      </c>
      <c r="I18" s="28">
        <f t="shared" si="0"/>
        <v>95</v>
      </c>
      <c r="J18" s="27" t="s">
        <v>800</v>
      </c>
      <c r="K18" s="43" t="s">
        <v>16</v>
      </c>
    </row>
    <row r="19" spans="1:11" ht="33.950000000000003" customHeight="1" x14ac:dyDescent="0.25">
      <c r="A19" s="27">
        <v>18</v>
      </c>
      <c r="B19" s="27" t="s">
        <v>835</v>
      </c>
      <c r="C19" s="27" t="s">
        <v>105</v>
      </c>
      <c r="D19" s="27" t="s">
        <v>798</v>
      </c>
      <c r="E19" s="44" t="s">
        <v>836</v>
      </c>
      <c r="F19" s="10">
        <v>96</v>
      </c>
      <c r="G19" s="11">
        <v>95</v>
      </c>
      <c r="H19" s="11">
        <v>90</v>
      </c>
      <c r="I19" s="28">
        <f t="shared" si="0"/>
        <v>95</v>
      </c>
      <c r="J19" s="27" t="s">
        <v>800</v>
      </c>
      <c r="K19" s="43" t="s">
        <v>16</v>
      </c>
    </row>
    <row r="20" spans="1:11" ht="33.950000000000003" customHeight="1" x14ac:dyDescent="0.25">
      <c r="A20" s="27">
        <v>19</v>
      </c>
      <c r="B20" s="27" t="s">
        <v>837</v>
      </c>
      <c r="C20" s="27" t="s">
        <v>18</v>
      </c>
      <c r="D20" s="27" t="s">
        <v>838</v>
      </c>
      <c r="E20" s="44" t="s">
        <v>839</v>
      </c>
      <c r="F20" s="10">
        <v>96</v>
      </c>
      <c r="G20" s="11">
        <v>95</v>
      </c>
      <c r="H20" s="11">
        <v>90</v>
      </c>
      <c r="I20" s="28">
        <f t="shared" si="0"/>
        <v>95</v>
      </c>
      <c r="J20" s="27" t="s">
        <v>800</v>
      </c>
      <c r="K20" s="43" t="s">
        <v>16</v>
      </c>
    </row>
    <row r="21" spans="1:11" ht="33.950000000000003" customHeight="1" x14ac:dyDescent="0.25">
      <c r="A21" s="27">
        <v>20</v>
      </c>
      <c r="B21" s="27" t="s">
        <v>840</v>
      </c>
      <c r="C21" s="27" t="s">
        <v>18</v>
      </c>
      <c r="D21" s="27" t="s">
        <v>841</v>
      </c>
      <c r="E21" s="44" t="s">
        <v>842</v>
      </c>
      <c r="F21" s="10">
        <v>96</v>
      </c>
      <c r="G21" s="11">
        <v>95</v>
      </c>
      <c r="H21" s="11">
        <v>90</v>
      </c>
      <c r="I21" s="28">
        <f t="shared" si="0"/>
        <v>95</v>
      </c>
      <c r="J21" s="27" t="s">
        <v>800</v>
      </c>
      <c r="K21" s="43" t="s">
        <v>16</v>
      </c>
    </row>
    <row r="22" spans="1:11" ht="33.950000000000003" customHeight="1" x14ac:dyDescent="0.25">
      <c r="A22" s="27">
        <v>21</v>
      </c>
      <c r="B22" s="27" t="s">
        <v>843</v>
      </c>
      <c r="C22" s="27" t="s">
        <v>18</v>
      </c>
      <c r="D22" s="27" t="s">
        <v>844</v>
      </c>
      <c r="E22" s="44" t="s">
        <v>845</v>
      </c>
      <c r="F22" s="10">
        <v>95</v>
      </c>
      <c r="G22" s="11">
        <v>94</v>
      </c>
      <c r="H22" s="11">
        <v>91</v>
      </c>
      <c r="I22" s="28">
        <f t="shared" si="0"/>
        <v>94</v>
      </c>
      <c r="J22" s="27" t="s">
        <v>800</v>
      </c>
      <c r="K22" s="43" t="s">
        <v>16</v>
      </c>
    </row>
    <row r="23" spans="1:11" ht="33.950000000000003" customHeight="1" x14ac:dyDescent="0.25">
      <c r="A23" s="27">
        <v>22</v>
      </c>
      <c r="B23" s="27" t="s">
        <v>846</v>
      </c>
      <c r="C23" s="27" t="s">
        <v>847</v>
      </c>
      <c r="D23" s="27" t="s">
        <v>848</v>
      </c>
      <c r="E23" s="45" t="s">
        <v>849</v>
      </c>
      <c r="F23" s="10">
        <v>95</v>
      </c>
      <c r="G23" s="11">
        <v>94</v>
      </c>
      <c r="H23" s="11">
        <v>91</v>
      </c>
      <c r="I23" s="28">
        <f t="shared" si="0"/>
        <v>94</v>
      </c>
      <c r="J23" s="27" t="s">
        <v>800</v>
      </c>
      <c r="K23" s="46" t="s">
        <v>850</v>
      </c>
    </row>
    <row r="24" spans="1:11" ht="33.950000000000003" customHeight="1" x14ac:dyDescent="0.25">
      <c r="A24" s="27">
        <v>23</v>
      </c>
      <c r="B24" s="27" t="s">
        <v>851</v>
      </c>
      <c r="C24" s="27" t="s">
        <v>752</v>
      </c>
      <c r="D24" s="27" t="s">
        <v>838</v>
      </c>
      <c r="E24" s="44" t="s">
        <v>852</v>
      </c>
      <c r="F24" s="10">
        <v>95</v>
      </c>
      <c r="G24" s="11">
        <v>94</v>
      </c>
      <c r="H24" s="11">
        <v>91</v>
      </c>
      <c r="I24" s="28">
        <f t="shared" si="0"/>
        <v>94</v>
      </c>
      <c r="J24" s="27" t="s">
        <v>800</v>
      </c>
      <c r="K24" s="43" t="s">
        <v>16</v>
      </c>
    </row>
    <row r="25" spans="1:11" ht="33.950000000000003" customHeight="1" x14ac:dyDescent="0.25">
      <c r="A25" s="27">
        <v>24</v>
      </c>
      <c r="B25" s="27" t="s">
        <v>853</v>
      </c>
      <c r="C25" s="27" t="s">
        <v>18</v>
      </c>
      <c r="D25" s="27" t="s">
        <v>854</v>
      </c>
      <c r="E25" s="44" t="s">
        <v>855</v>
      </c>
      <c r="F25" s="10">
        <v>95</v>
      </c>
      <c r="G25" s="11">
        <v>94</v>
      </c>
      <c r="H25" s="11">
        <v>91</v>
      </c>
      <c r="I25" s="28">
        <f t="shared" si="0"/>
        <v>94</v>
      </c>
      <c r="J25" s="27" t="s">
        <v>800</v>
      </c>
      <c r="K25" s="43" t="s">
        <v>16</v>
      </c>
    </row>
    <row r="26" spans="1:11" ht="33.950000000000003" customHeight="1" x14ac:dyDescent="0.25">
      <c r="A26" s="27">
        <v>25</v>
      </c>
      <c r="B26" s="27" t="s">
        <v>856</v>
      </c>
      <c r="C26" s="27" t="s">
        <v>18</v>
      </c>
      <c r="D26" s="27" t="s">
        <v>857</v>
      </c>
      <c r="E26" s="44" t="s">
        <v>858</v>
      </c>
      <c r="F26" s="10">
        <v>95</v>
      </c>
      <c r="G26" s="11">
        <v>94</v>
      </c>
      <c r="H26" s="11">
        <v>91</v>
      </c>
      <c r="I26" s="28">
        <f t="shared" si="0"/>
        <v>94</v>
      </c>
      <c r="J26" s="27" t="s">
        <v>800</v>
      </c>
      <c r="K26" s="43" t="s">
        <v>16</v>
      </c>
    </row>
    <row r="27" spans="1:11" ht="33.950000000000003" customHeight="1" x14ac:dyDescent="0.25">
      <c r="A27" s="29">
        <v>26</v>
      </c>
      <c r="B27" s="29" t="s">
        <v>859</v>
      </c>
      <c r="C27" s="29" t="s">
        <v>105</v>
      </c>
      <c r="D27" s="29" t="s">
        <v>801</v>
      </c>
      <c r="E27" s="44" t="s">
        <v>860</v>
      </c>
      <c r="F27" s="14">
        <v>93</v>
      </c>
      <c r="G27" s="15">
        <v>93</v>
      </c>
      <c r="H27" s="15">
        <v>90</v>
      </c>
      <c r="I27" s="30">
        <f t="shared" si="0"/>
        <v>93</v>
      </c>
      <c r="J27" s="29" t="s">
        <v>800</v>
      </c>
      <c r="K27" s="43" t="s">
        <v>16</v>
      </c>
    </row>
    <row r="28" spans="1:11" ht="33.950000000000003" customHeight="1" x14ac:dyDescent="0.25">
      <c r="A28" s="29">
        <v>27</v>
      </c>
      <c r="B28" s="29" t="s">
        <v>861</v>
      </c>
      <c r="C28" s="29" t="s">
        <v>862</v>
      </c>
      <c r="D28" s="29" t="s">
        <v>801</v>
      </c>
      <c r="E28" s="45" t="s">
        <v>863</v>
      </c>
      <c r="F28" s="14">
        <v>93</v>
      </c>
      <c r="G28" s="15">
        <v>93</v>
      </c>
      <c r="H28" s="15">
        <v>90</v>
      </c>
      <c r="I28" s="30">
        <f t="shared" si="0"/>
        <v>93</v>
      </c>
      <c r="J28" s="29" t="s">
        <v>800</v>
      </c>
      <c r="K28" s="46" t="s">
        <v>850</v>
      </c>
    </row>
    <row r="29" spans="1:11" ht="33.950000000000003" customHeight="1" x14ac:dyDescent="0.25">
      <c r="A29" s="29">
        <v>28</v>
      </c>
      <c r="B29" s="29" t="s">
        <v>864</v>
      </c>
      <c r="C29" s="29" t="s">
        <v>18</v>
      </c>
      <c r="D29" s="29" t="s">
        <v>801</v>
      </c>
      <c r="E29" s="45" t="s">
        <v>863</v>
      </c>
      <c r="F29" s="14">
        <v>93</v>
      </c>
      <c r="G29" s="15">
        <v>93</v>
      </c>
      <c r="H29" s="15">
        <v>90</v>
      </c>
      <c r="I29" s="30">
        <f t="shared" si="0"/>
        <v>93</v>
      </c>
      <c r="J29" s="29" t="s">
        <v>800</v>
      </c>
      <c r="K29" s="46" t="s">
        <v>850</v>
      </c>
    </row>
    <row r="30" spans="1:11" ht="33.950000000000003" customHeight="1" x14ac:dyDescent="0.25">
      <c r="A30" s="29">
        <v>29</v>
      </c>
      <c r="B30" s="29" t="s">
        <v>865</v>
      </c>
      <c r="C30" s="29" t="s">
        <v>18</v>
      </c>
      <c r="D30" s="29" t="s">
        <v>801</v>
      </c>
      <c r="E30" s="45" t="s">
        <v>863</v>
      </c>
      <c r="F30" s="14">
        <v>93</v>
      </c>
      <c r="G30" s="15">
        <v>93</v>
      </c>
      <c r="H30" s="15">
        <v>90</v>
      </c>
      <c r="I30" s="30">
        <f t="shared" si="0"/>
        <v>93</v>
      </c>
      <c r="J30" s="29" t="s">
        <v>800</v>
      </c>
      <c r="K30" s="46" t="s">
        <v>850</v>
      </c>
    </row>
    <row r="31" spans="1:11" ht="33.950000000000003" customHeight="1" x14ac:dyDescent="0.25">
      <c r="A31" s="29">
        <v>30</v>
      </c>
      <c r="B31" s="29" t="s">
        <v>866</v>
      </c>
      <c r="C31" s="29" t="s">
        <v>867</v>
      </c>
      <c r="D31" s="29" t="s">
        <v>868</v>
      </c>
      <c r="E31" s="45" t="s">
        <v>869</v>
      </c>
      <c r="F31" s="14">
        <v>93</v>
      </c>
      <c r="G31" s="15">
        <v>93</v>
      </c>
      <c r="H31" s="15">
        <v>90</v>
      </c>
      <c r="I31" s="30">
        <f t="shared" si="0"/>
        <v>93</v>
      </c>
      <c r="J31" s="29" t="s">
        <v>800</v>
      </c>
      <c r="K31" s="46" t="s">
        <v>850</v>
      </c>
    </row>
    <row r="32" spans="1:11" ht="33.950000000000003" customHeight="1" x14ac:dyDescent="0.25">
      <c r="A32" s="29">
        <v>31</v>
      </c>
      <c r="B32" s="29" t="s">
        <v>870</v>
      </c>
      <c r="C32" s="29" t="s">
        <v>62</v>
      </c>
      <c r="D32" s="29" t="s">
        <v>798</v>
      </c>
      <c r="E32" s="44" t="s">
        <v>871</v>
      </c>
      <c r="F32" s="14">
        <v>93</v>
      </c>
      <c r="G32" s="15">
        <v>93</v>
      </c>
      <c r="H32" s="15">
        <v>90</v>
      </c>
      <c r="I32" s="30">
        <f t="shared" si="0"/>
        <v>93</v>
      </c>
      <c r="J32" s="29" t="s">
        <v>800</v>
      </c>
      <c r="K32" s="43" t="s">
        <v>16</v>
      </c>
    </row>
    <row r="33" spans="1:11" ht="33.950000000000003" customHeight="1" x14ac:dyDescent="0.25">
      <c r="A33" s="29">
        <v>32</v>
      </c>
      <c r="B33" s="29" t="s">
        <v>872</v>
      </c>
      <c r="C33" s="29" t="s">
        <v>225</v>
      </c>
      <c r="D33" s="29" t="s">
        <v>873</v>
      </c>
      <c r="E33" s="44" t="s">
        <v>874</v>
      </c>
      <c r="F33" s="14">
        <v>93</v>
      </c>
      <c r="G33" s="15">
        <v>93</v>
      </c>
      <c r="H33" s="15">
        <v>90</v>
      </c>
      <c r="I33" s="30">
        <f t="shared" si="0"/>
        <v>93</v>
      </c>
      <c r="J33" s="29" t="s">
        <v>800</v>
      </c>
      <c r="K33" s="43" t="s">
        <v>16</v>
      </c>
    </row>
    <row r="34" spans="1:11" ht="33.950000000000003" customHeight="1" x14ac:dyDescent="0.25">
      <c r="A34" s="29">
        <v>33</v>
      </c>
      <c r="B34" s="29" t="s">
        <v>875</v>
      </c>
      <c r="C34" s="29" t="s">
        <v>113</v>
      </c>
      <c r="D34" s="29" t="s">
        <v>801</v>
      </c>
      <c r="E34" s="44" t="s">
        <v>876</v>
      </c>
      <c r="F34" s="14">
        <v>93</v>
      </c>
      <c r="G34" s="15">
        <v>93</v>
      </c>
      <c r="H34" s="15">
        <v>90</v>
      </c>
      <c r="I34" s="30">
        <f t="shared" ref="I34:I65" si="1">ROUND(F34*0.55+G34*0.3+H34*0.15,0)</f>
        <v>93</v>
      </c>
      <c r="J34" s="29" t="s">
        <v>800</v>
      </c>
      <c r="K34" s="43" t="s">
        <v>16</v>
      </c>
    </row>
    <row r="35" spans="1:11" ht="33.950000000000003" customHeight="1" x14ac:dyDescent="0.25">
      <c r="A35" s="29">
        <v>34</v>
      </c>
      <c r="B35" s="29" t="s">
        <v>877</v>
      </c>
      <c r="C35" s="29" t="s">
        <v>113</v>
      </c>
      <c r="D35" s="29" t="s">
        <v>801</v>
      </c>
      <c r="E35" s="44" t="s">
        <v>878</v>
      </c>
      <c r="F35" s="14">
        <v>92</v>
      </c>
      <c r="G35" s="15">
        <v>92</v>
      </c>
      <c r="H35" s="15">
        <v>89</v>
      </c>
      <c r="I35" s="30">
        <f t="shared" si="1"/>
        <v>92</v>
      </c>
      <c r="J35" s="29" t="s">
        <v>800</v>
      </c>
      <c r="K35" s="43" t="s">
        <v>16</v>
      </c>
    </row>
    <row r="36" spans="1:11" ht="33.950000000000003" customHeight="1" x14ac:dyDescent="0.25">
      <c r="A36" s="29">
        <v>35</v>
      </c>
      <c r="B36" s="29" t="s">
        <v>879</v>
      </c>
      <c r="C36" s="29" t="s">
        <v>62</v>
      </c>
      <c r="D36" s="29" t="s">
        <v>798</v>
      </c>
      <c r="E36" s="44" t="s">
        <v>880</v>
      </c>
      <c r="F36" s="14">
        <v>92</v>
      </c>
      <c r="G36" s="15">
        <v>92</v>
      </c>
      <c r="H36" s="15">
        <v>89</v>
      </c>
      <c r="I36" s="30">
        <f t="shared" si="1"/>
        <v>92</v>
      </c>
      <c r="J36" s="29" t="s">
        <v>800</v>
      </c>
      <c r="K36" s="43" t="s">
        <v>16</v>
      </c>
    </row>
    <row r="37" spans="1:11" ht="33.950000000000003" customHeight="1" x14ac:dyDescent="0.25">
      <c r="A37" s="29">
        <v>36</v>
      </c>
      <c r="B37" s="29" t="s">
        <v>881</v>
      </c>
      <c r="C37" s="29" t="s">
        <v>12</v>
      </c>
      <c r="D37" s="29" t="s">
        <v>882</v>
      </c>
      <c r="E37" s="44" t="s">
        <v>883</v>
      </c>
      <c r="F37" s="14">
        <v>92</v>
      </c>
      <c r="G37" s="15">
        <v>92</v>
      </c>
      <c r="H37" s="15">
        <v>89</v>
      </c>
      <c r="I37" s="30">
        <f t="shared" si="1"/>
        <v>92</v>
      </c>
      <c r="J37" s="29" t="s">
        <v>800</v>
      </c>
      <c r="K37" s="43" t="s">
        <v>16</v>
      </c>
    </row>
    <row r="38" spans="1:11" ht="33.950000000000003" customHeight="1" x14ac:dyDescent="0.25">
      <c r="A38" s="29">
        <v>37</v>
      </c>
      <c r="B38" s="29" t="s">
        <v>884</v>
      </c>
      <c r="C38" s="29" t="s">
        <v>885</v>
      </c>
      <c r="D38" s="29" t="s">
        <v>886</v>
      </c>
      <c r="E38" s="44" t="s">
        <v>887</v>
      </c>
      <c r="F38" s="14">
        <v>92</v>
      </c>
      <c r="G38" s="15">
        <v>92</v>
      </c>
      <c r="H38" s="15">
        <v>89</v>
      </c>
      <c r="I38" s="30">
        <f t="shared" si="1"/>
        <v>92</v>
      </c>
      <c r="J38" s="29" t="s">
        <v>800</v>
      </c>
      <c r="K38" s="43" t="s">
        <v>16</v>
      </c>
    </row>
    <row r="39" spans="1:11" ht="33.950000000000003" customHeight="1" x14ac:dyDescent="0.25">
      <c r="A39" s="29">
        <v>38</v>
      </c>
      <c r="B39" s="29" t="s">
        <v>888</v>
      </c>
      <c r="C39" s="29" t="s">
        <v>62</v>
      </c>
      <c r="D39" s="29" t="s">
        <v>889</v>
      </c>
      <c r="E39" s="44" t="s">
        <v>890</v>
      </c>
      <c r="F39" s="14">
        <v>92</v>
      </c>
      <c r="G39" s="15">
        <v>92</v>
      </c>
      <c r="H39" s="15">
        <v>89</v>
      </c>
      <c r="I39" s="30">
        <f t="shared" si="1"/>
        <v>92</v>
      </c>
      <c r="J39" s="29" t="s">
        <v>800</v>
      </c>
      <c r="K39" s="43" t="s">
        <v>16</v>
      </c>
    </row>
    <row r="40" spans="1:11" ht="33.950000000000003" customHeight="1" x14ac:dyDescent="0.25">
      <c r="A40" s="29">
        <v>39</v>
      </c>
      <c r="B40" s="29" t="s">
        <v>891</v>
      </c>
      <c r="C40" s="29" t="s">
        <v>96</v>
      </c>
      <c r="D40" s="29" t="s">
        <v>892</v>
      </c>
      <c r="E40" s="44" t="s">
        <v>893</v>
      </c>
      <c r="F40" s="14">
        <v>92</v>
      </c>
      <c r="G40" s="15">
        <v>92</v>
      </c>
      <c r="H40" s="15">
        <v>89</v>
      </c>
      <c r="I40" s="30">
        <f t="shared" si="1"/>
        <v>92</v>
      </c>
      <c r="J40" s="29" t="s">
        <v>800</v>
      </c>
      <c r="K40" s="43" t="s">
        <v>16</v>
      </c>
    </row>
    <row r="41" spans="1:11" ht="33.950000000000003" customHeight="1" x14ac:dyDescent="0.25">
      <c r="A41" s="29">
        <v>40</v>
      </c>
      <c r="B41" s="29" t="s">
        <v>894</v>
      </c>
      <c r="C41" s="29" t="s">
        <v>96</v>
      </c>
      <c r="D41" s="29" t="s">
        <v>895</v>
      </c>
      <c r="E41" s="44" t="s">
        <v>896</v>
      </c>
      <c r="F41" s="14">
        <v>92</v>
      </c>
      <c r="G41" s="15">
        <v>92</v>
      </c>
      <c r="H41" s="15">
        <v>89</v>
      </c>
      <c r="I41" s="30">
        <f t="shared" si="1"/>
        <v>92</v>
      </c>
      <c r="J41" s="29" t="s">
        <v>800</v>
      </c>
      <c r="K41" s="43" t="s">
        <v>16</v>
      </c>
    </row>
    <row r="42" spans="1:11" ht="33.950000000000003" customHeight="1" x14ac:dyDescent="0.25">
      <c r="A42" s="29">
        <v>41</v>
      </c>
      <c r="B42" s="29" t="s">
        <v>897</v>
      </c>
      <c r="C42" s="29" t="s">
        <v>304</v>
      </c>
      <c r="D42" s="29" t="s">
        <v>898</v>
      </c>
      <c r="E42" s="45" t="s">
        <v>899</v>
      </c>
      <c r="F42" s="14">
        <v>92</v>
      </c>
      <c r="G42" s="15">
        <v>92</v>
      </c>
      <c r="H42" s="15">
        <v>89</v>
      </c>
      <c r="I42" s="30">
        <f t="shared" si="1"/>
        <v>92</v>
      </c>
      <c r="J42" s="29" t="s">
        <v>800</v>
      </c>
      <c r="K42" s="46" t="s">
        <v>850</v>
      </c>
    </row>
    <row r="43" spans="1:11" ht="33.950000000000003" customHeight="1" x14ac:dyDescent="0.25">
      <c r="A43" s="29">
        <v>42</v>
      </c>
      <c r="B43" s="29" t="s">
        <v>900</v>
      </c>
      <c r="C43" s="29" t="s">
        <v>37</v>
      </c>
      <c r="D43" s="29" t="s">
        <v>892</v>
      </c>
      <c r="E43" s="44" t="s">
        <v>901</v>
      </c>
      <c r="F43" s="14">
        <v>91</v>
      </c>
      <c r="G43" s="15">
        <v>91</v>
      </c>
      <c r="H43" s="15">
        <v>88</v>
      </c>
      <c r="I43" s="30">
        <f t="shared" si="1"/>
        <v>91</v>
      </c>
      <c r="J43" s="29" t="s">
        <v>800</v>
      </c>
      <c r="K43" s="43" t="s">
        <v>16</v>
      </c>
    </row>
    <row r="44" spans="1:11" ht="33.950000000000003" customHeight="1" x14ac:dyDescent="0.25">
      <c r="A44" s="29">
        <v>43</v>
      </c>
      <c r="B44" s="29" t="s">
        <v>902</v>
      </c>
      <c r="C44" s="29" t="s">
        <v>694</v>
      </c>
      <c r="D44" s="29" t="s">
        <v>892</v>
      </c>
      <c r="E44" s="45" t="s">
        <v>903</v>
      </c>
      <c r="F44" s="14">
        <v>91</v>
      </c>
      <c r="G44" s="15">
        <v>91</v>
      </c>
      <c r="H44" s="15">
        <v>88</v>
      </c>
      <c r="I44" s="30">
        <f t="shared" si="1"/>
        <v>91</v>
      </c>
      <c r="J44" s="29" t="s">
        <v>800</v>
      </c>
      <c r="K44" s="46" t="s">
        <v>850</v>
      </c>
    </row>
    <row r="45" spans="1:11" ht="33.950000000000003" customHeight="1" x14ac:dyDescent="0.25">
      <c r="A45" s="29">
        <v>44</v>
      </c>
      <c r="B45" s="29" t="s">
        <v>904</v>
      </c>
      <c r="C45" s="29" t="s">
        <v>18</v>
      </c>
      <c r="D45" s="29" t="s">
        <v>905</v>
      </c>
      <c r="E45" s="45" t="s">
        <v>906</v>
      </c>
      <c r="F45" s="14">
        <v>91</v>
      </c>
      <c r="G45" s="15">
        <v>91</v>
      </c>
      <c r="H45" s="15">
        <v>88</v>
      </c>
      <c r="I45" s="30">
        <f t="shared" si="1"/>
        <v>91</v>
      </c>
      <c r="J45" s="29" t="s">
        <v>800</v>
      </c>
      <c r="K45" s="46" t="s">
        <v>850</v>
      </c>
    </row>
    <row r="46" spans="1:11" ht="33.950000000000003" customHeight="1" x14ac:dyDescent="0.25">
      <c r="A46" s="29">
        <v>45</v>
      </c>
      <c r="B46" s="29" t="s">
        <v>907</v>
      </c>
      <c r="C46" s="29" t="s">
        <v>18</v>
      </c>
      <c r="D46" s="29" t="s">
        <v>908</v>
      </c>
      <c r="E46" s="45" t="s">
        <v>909</v>
      </c>
      <c r="F46" s="14">
        <v>91</v>
      </c>
      <c r="G46" s="15">
        <v>91</v>
      </c>
      <c r="H46" s="15">
        <v>88</v>
      </c>
      <c r="I46" s="30">
        <f t="shared" si="1"/>
        <v>91</v>
      </c>
      <c r="J46" s="29" t="s">
        <v>800</v>
      </c>
      <c r="K46" s="46" t="s">
        <v>850</v>
      </c>
    </row>
    <row r="47" spans="1:11" ht="33.950000000000003" customHeight="1" x14ac:dyDescent="0.25">
      <c r="A47" s="29">
        <v>46</v>
      </c>
      <c r="B47" s="29" t="s">
        <v>910</v>
      </c>
      <c r="C47" s="29" t="s">
        <v>338</v>
      </c>
      <c r="D47" s="29" t="s">
        <v>911</v>
      </c>
      <c r="E47" s="45" t="s">
        <v>912</v>
      </c>
      <c r="F47" s="14">
        <v>91</v>
      </c>
      <c r="G47" s="15">
        <v>91</v>
      </c>
      <c r="H47" s="15">
        <v>88</v>
      </c>
      <c r="I47" s="30">
        <f t="shared" si="1"/>
        <v>91</v>
      </c>
      <c r="J47" s="29" t="s">
        <v>800</v>
      </c>
      <c r="K47" s="46" t="s">
        <v>850</v>
      </c>
    </row>
    <row r="48" spans="1:11" ht="33.950000000000003" customHeight="1" x14ac:dyDescent="0.25">
      <c r="A48" s="29">
        <v>47</v>
      </c>
      <c r="B48" s="29" t="s">
        <v>913</v>
      </c>
      <c r="C48" s="29" t="s">
        <v>914</v>
      </c>
      <c r="D48" s="29" t="s">
        <v>798</v>
      </c>
      <c r="E48" s="45" t="s">
        <v>915</v>
      </c>
      <c r="F48" s="14">
        <v>91</v>
      </c>
      <c r="G48" s="15">
        <v>91</v>
      </c>
      <c r="H48" s="15">
        <v>88</v>
      </c>
      <c r="I48" s="30">
        <f t="shared" si="1"/>
        <v>91</v>
      </c>
      <c r="J48" s="29" t="s">
        <v>800</v>
      </c>
      <c r="K48" s="46" t="s">
        <v>850</v>
      </c>
    </row>
    <row r="49" spans="1:11" ht="33.950000000000003" customHeight="1" x14ac:dyDescent="0.25">
      <c r="A49" s="29">
        <v>48</v>
      </c>
      <c r="B49" s="29" t="s">
        <v>916</v>
      </c>
      <c r="C49" s="29" t="s">
        <v>238</v>
      </c>
      <c r="D49" s="29" t="s">
        <v>838</v>
      </c>
      <c r="E49" s="45" t="s">
        <v>917</v>
      </c>
      <c r="F49" s="14">
        <v>91</v>
      </c>
      <c r="G49" s="15">
        <v>91</v>
      </c>
      <c r="H49" s="15">
        <v>88</v>
      </c>
      <c r="I49" s="30">
        <f t="shared" si="1"/>
        <v>91</v>
      </c>
      <c r="J49" s="29" t="s">
        <v>800</v>
      </c>
      <c r="K49" s="46" t="s">
        <v>850</v>
      </c>
    </row>
    <row r="50" spans="1:11" ht="33.950000000000003" customHeight="1" x14ac:dyDescent="0.25">
      <c r="A50" s="29">
        <v>49</v>
      </c>
      <c r="B50" s="29" t="s">
        <v>918</v>
      </c>
      <c r="C50" s="29" t="s">
        <v>28</v>
      </c>
      <c r="D50" s="29" t="s">
        <v>919</v>
      </c>
      <c r="E50" s="45" t="s">
        <v>920</v>
      </c>
      <c r="F50" s="14">
        <v>91</v>
      </c>
      <c r="G50" s="15">
        <v>91</v>
      </c>
      <c r="H50" s="15">
        <v>88</v>
      </c>
      <c r="I50" s="30">
        <f t="shared" si="1"/>
        <v>91</v>
      </c>
      <c r="J50" s="29" t="s">
        <v>800</v>
      </c>
      <c r="K50" s="46" t="s">
        <v>850</v>
      </c>
    </row>
    <row r="51" spans="1:11" ht="33.950000000000003" customHeight="1" x14ac:dyDescent="0.25">
      <c r="A51" s="29">
        <v>50</v>
      </c>
      <c r="B51" s="29" t="s">
        <v>921</v>
      </c>
      <c r="C51" s="29" t="s">
        <v>238</v>
      </c>
      <c r="D51" s="29" t="s">
        <v>922</v>
      </c>
      <c r="E51" s="45" t="s">
        <v>923</v>
      </c>
      <c r="F51" s="14">
        <v>90</v>
      </c>
      <c r="G51" s="15">
        <v>90</v>
      </c>
      <c r="H51" s="15">
        <v>87</v>
      </c>
      <c r="I51" s="30">
        <f t="shared" si="1"/>
        <v>90</v>
      </c>
      <c r="J51" s="29" t="s">
        <v>800</v>
      </c>
      <c r="K51" s="46" t="s">
        <v>850</v>
      </c>
    </row>
    <row r="52" spans="1:11" ht="33.950000000000003" customHeight="1" x14ac:dyDescent="0.25">
      <c r="A52" s="31">
        <v>51</v>
      </c>
      <c r="B52" s="31" t="s">
        <v>924</v>
      </c>
      <c r="C52" s="31" t="s">
        <v>137</v>
      </c>
      <c r="D52" s="31" t="s">
        <v>925</v>
      </c>
      <c r="E52" s="45" t="s">
        <v>926</v>
      </c>
      <c r="F52" s="32">
        <v>89</v>
      </c>
      <c r="G52" s="33">
        <v>88</v>
      </c>
      <c r="H52" s="33">
        <v>86</v>
      </c>
      <c r="I52" s="34">
        <f t="shared" si="1"/>
        <v>88</v>
      </c>
      <c r="J52" s="31" t="s">
        <v>800</v>
      </c>
      <c r="K52" s="46" t="s">
        <v>850</v>
      </c>
    </row>
    <row r="53" spans="1:11" ht="33.950000000000003" customHeight="1" x14ac:dyDescent="0.25">
      <c r="A53" s="35">
        <v>52</v>
      </c>
      <c r="B53" s="35" t="s">
        <v>234</v>
      </c>
      <c r="C53" s="35" t="s">
        <v>137</v>
      </c>
      <c r="D53" s="35" t="s">
        <v>927</v>
      </c>
      <c r="E53" s="45" t="s">
        <v>928</v>
      </c>
      <c r="F53" s="18">
        <v>89</v>
      </c>
      <c r="G53" s="19">
        <v>88</v>
      </c>
      <c r="H53" s="19">
        <v>86</v>
      </c>
      <c r="I53" s="36">
        <f t="shared" si="1"/>
        <v>88</v>
      </c>
      <c r="J53" s="35" t="s">
        <v>800</v>
      </c>
      <c r="K53" s="46" t="s">
        <v>850</v>
      </c>
    </row>
    <row r="54" spans="1:11" ht="33.950000000000003" customHeight="1" x14ac:dyDescent="0.25">
      <c r="A54" s="31">
        <v>53</v>
      </c>
      <c r="B54" s="31" t="s">
        <v>929</v>
      </c>
      <c r="C54" s="31" t="s">
        <v>28</v>
      </c>
      <c r="D54" s="31" t="s">
        <v>798</v>
      </c>
      <c r="E54" s="45" t="s">
        <v>915</v>
      </c>
      <c r="F54" s="32">
        <v>89</v>
      </c>
      <c r="G54" s="33">
        <v>88</v>
      </c>
      <c r="H54" s="33">
        <v>86</v>
      </c>
      <c r="I54" s="34">
        <f t="shared" si="1"/>
        <v>88</v>
      </c>
      <c r="J54" s="31" t="s">
        <v>800</v>
      </c>
      <c r="K54" s="46" t="s">
        <v>850</v>
      </c>
    </row>
    <row r="55" spans="1:11" ht="33.950000000000003" customHeight="1" x14ac:dyDescent="0.25">
      <c r="A55" s="35">
        <v>54</v>
      </c>
      <c r="B55" s="35" t="s">
        <v>930</v>
      </c>
      <c r="C55" s="35" t="s">
        <v>238</v>
      </c>
      <c r="D55" s="35" t="s">
        <v>931</v>
      </c>
      <c r="E55" s="45" t="s">
        <v>932</v>
      </c>
      <c r="F55" s="18">
        <v>89</v>
      </c>
      <c r="G55" s="19">
        <v>88</v>
      </c>
      <c r="H55" s="19">
        <v>86</v>
      </c>
      <c r="I55" s="36">
        <f t="shared" si="1"/>
        <v>88</v>
      </c>
      <c r="J55" s="35" t="s">
        <v>800</v>
      </c>
      <c r="K55" s="46" t="s">
        <v>850</v>
      </c>
    </row>
    <row r="56" spans="1:11" ht="33.950000000000003" customHeight="1" x14ac:dyDescent="0.25">
      <c r="A56" s="31">
        <v>55</v>
      </c>
      <c r="B56" s="31" t="s">
        <v>933</v>
      </c>
      <c r="C56" s="31" t="s">
        <v>18</v>
      </c>
      <c r="D56" s="31" t="s">
        <v>889</v>
      </c>
      <c r="E56" s="45" t="s">
        <v>934</v>
      </c>
      <c r="F56" s="32">
        <v>89</v>
      </c>
      <c r="G56" s="33">
        <v>88</v>
      </c>
      <c r="H56" s="33">
        <v>86</v>
      </c>
      <c r="I56" s="34">
        <f t="shared" si="1"/>
        <v>88</v>
      </c>
      <c r="J56" s="31" t="s">
        <v>800</v>
      </c>
      <c r="K56" s="46" t="s">
        <v>850</v>
      </c>
    </row>
    <row r="57" spans="1:11" ht="33.950000000000003" customHeight="1" x14ac:dyDescent="0.25">
      <c r="A57" s="35">
        <v>56</v>
      </c>
      <c r="B57" s="35" t="s">
        <v>54</v>
      </c>
      <c r="C57" s="35" t="s">
        <v>18</v>
      </c>
      <c r="D57" s="35" t="s">
        <v>892</v>
      </c>
      <c r="E57" s="45" t="s">
        <v>903</v>
      </c>
      <c r="F57" s="18">
        <v>89</v>
      </c>
      <c r="G57" s="19">
        <v>88</v>
      </c>
      <c r="H57" s="19">
        <v>86</v>
      </c>
      <c r="I57" s="36">
        <f t="shared" si="1"/>
        <v>88</v>
      </c>
      <c r="J57" s="35" t="s">
        <v>800</v>
      </c>
      <c r="K57" s="46" t="s">
        <v>850</v>
      </c>
    </row>
    <row r="58" spans="1:11" ht="33.950000000000003" customHeight="1" x14ac:dyDescent="0.25">
      <c r="A58" s="31">
        <v>57</v>
      </c>
      <c r="B58" s="31" t="s">
        <v>313</v>
      </c>
      <c r="C58" s="31" t="s">
        <v>18</v>
      </c>
      <c r="D58" s="31" t="s">
        <v>892</v>
      </c>
      <c r="E58" s="45" t="s">
        <v>903</v>
      </c>
      <c r="F58" s="32">
        <v>89</v>
      </c>
      <c r="G58" s="33">
        <v>88</v>
      </c>
      <c r="H58" s="33">
        <v>86</v>
      </c>
      <c r="I58" s="34">
        <f t="shared" si="1"/>
        <v>88</v>
      </c>
      <c r="J58" s="31" t="s">
        <v>800</v>
      </c>
      <c r="K58" s="46" t="s">
        <v>850</v>
      </c>
    </row>
    <row r="59" spans="1:11" ht="33.950000000000003" customHeight="1" x14ac:dyDescent="0.25">
      <c r="A59" s="35">
        <v>58</v>
      </c>
      <c r="B59" s="35" t="s">
        <v>935</v>
      </c>
      <c r="C59" s="35" t="s">
        <v>23</v>
      </c>
      <c r="D59" s="35" t="s">
        <v>936</v>
      </c>
      <c r="E59" s="45" t="s">
        <v>937</v>
      </c>
      <c r="F59" s="18">
        <v>89</v>
      </c>
      <c r="G59" s="19">
        <v>88</v>
      </c>
      <c r="H59" s="19">
        <v>86</v>
      </c>
      <c r="I59" s="36">
        <f t="shared" si="1"/>
        <v>88</v>
      </c>
      <c r="J59" s="35" t="s">
        <v>800</v>
      </c>
      <c r="K59" s="46" t="s">
        <v>850</v>
      </c>
    </row>
    <row r="60" spans="1:11" ht="33.950000000000003" customHeight="1" x14ac:dyDescent="0.25">
      <c r="A60" s="31">
        <v>59</v>
      </c>
      <c r="B60" s="31" t="s">
        <v>79</v>
      </c>
      <c r="C60" s="31" t="s">
        <v>938</v>
      </c>
      <c r="D60" s="31" t="s">
        <v>939</v>
      </c>
      <c r="E60" s="45" t="s">
        <v>940</v>
      </c>
      <c r="F60" s="32">
        <v>89</v>
      </c>
      <c r="G60" s="33">
        <v>88</v>
      </c>
      <c r="H60" s="33">
        <v>86</v>
      </c>
      <c r="I60" s="34">
        <f t="shared" si="1"/>
        <v>88</v>
      </c>
      <c r="J60" s="31" t="s">
        <v>800</v>
      </c>
      <c r="K60" s="46" t="s">
        <v>850</v>
      </c>
    </row>
    <row r="61" spans="1:11" ht="33.950000000000003" customHeight="1" x14ac:dyDescent="0.25">
      <c r="A61" s="35">
        <v>60</v>
      </c>
      <c r="B61" s="35" t="s">
        <v>941</v>
      </c>
      <c r="C61" s="35" t="s">
        <v>37</v>
      </c>
      <c r="D61" s="35" t="s">
        <v>801</v>
      </c>
      <c r="E61" s="44" t="s">
        <v>942</v>
      </c>
      <c r="F61" s="18">
        <v>89</v>
      </c>
      <c r="G61" s="19">
        <v>88</v>
      </c>
      <c r="H61" s="19">
        <v>86</v>
      </c>
      <c r="I61" s="36">
        <f t="shared" si="1"/>
        <v>88</v>
      </c>
      <c r="J61" s="35" t="s">
        <v>800</v>
      </c>
      <c r="K61" s="43" t="s">
        <v>16</v>
      </c>
    </row>
    <row r="62" spans="1:11" ht="33.950000000000003" customHeight="1" x14ac:dyDescent="0.25">
      <c r="A62" s="31">
        <v>61</v>
      </c>
      <c r="B62" s="31" t="s">
        <v>493</v>
      </c>
      <c r="C62" s="31" t="s">
        <v>80</v>
      </c>
      <c r="D62" s="31" t="s">
        <v>943</v>
      </c>
      <c r="E62" s="45" t="s">
        <v>944</v>
      </c>
      <c r="F62" s="32">
        <v>89</v>
      </c>
      <c r="G62" s="33">
        <v>88</v>
      </c>
      <c r="H62" s="33">
        <v>86</v>
      </c>
      <c r="I62" s="34">
        <f t="shared" si="1"/>
        <v>88</v>
      </c>
      <c r="J62" s="31" t="s">
        <v>800</v>
      </c>
      <c r="K62" s="46" t="s">
        <v>850</v>
      </c>
    </row>
    <row r="63" spans="1:11" ht="33.950000000000003" customHeight="1" x14ac:dyDescent="0.25">
      <c r="A63" s="35">
        <v>62</v>
      </c>
      <c r="B63" s="35" t="s">
        <v>945</v>
      </c>
      <c r="C63" s="35" t="s">
        <v>238</v>
      </c>
      <c r="D63" s="35" t="s">
        <v>946</v>
      </c>
      <c r="E63" s="45" t="s">
        <v>947</v>
      </c>
      <c r="F63" s="18">
        <v>89</v>
      </c>
      <c r="G63" s="19">
        <v>88</v>
      </c>
      <c r="H63" s="19">
        <v>86</v>
      </c>
      <c r="I63" s="36">
        <f t="shared" si="1"/>
        <v>88</v>
      </c>
      <c r="J63" s="35" t="s">
        <v>800</v>
      </c>
      <c r="K63" s="46" t="s">
        <v>850</v>
      </c>
    </row>
    <row r="64" spans="1:11" ht="33.950000000000003" customHeight="1" x14ac:dyDescent="0.25">
      <c r="A64" s="31">
        <v>63</v>
      </c>
      <c r="B64" s="31" t="s">
        <v>948</v>
      </c>
      <c r="C64" s="31" t="s">
        <v>949</v>
      </c>
      <c r="D64" s="31" t="s">
        <v>950</v>
      </c>
      <c r="E64" s="45" t="s">
        <v>951</v>
      </c>
      <c r="F64" s="32">
        <v>89</v>
      </c>
      <c r="G64" s="33">
        <v>88</v>
      </c>
      <c r="H64" s="33">
        <v>86</v>
      </c>
      <c r="I64" s="34">
        <f t="shared" si="1"/>
        <v>88</v>
      </c>
      <c r="J64" s="31" t="s">
        <v>800</v>
      </c>
      <c r="K64" s="46" t="s">
        <v>850</v>
      </c>
    </row>
    <row r="65" spans="1:11" ht="33.950000000000003" customHeight="1" x14ac:dyDescent="0.25">
      <c r="A65" s="35">
        <v>64</v>
      </c>
      <c r="B65" s="35" t="s">
        <v>952</v>
      </c>
      <c r="C65" s="35" t="s">
        <v>238</v>
      </c>
      <c r="D65" s="35" t="s">
        <v>953</v>
      </c>
      <c r="E65" s="45" t="s">
        <v>954</v>
      </c>
      <c r="F65" s="18">
        <v>88</v>
      </c>
      <c r="G65" s="19">
        <v>87</v>
      </c>
      <c r="H65" s="19">
        <v>85</v>
      </c>
      <c r="I65" s="36">
        <f t="shared" si="1"/>
        <v>87</v>
      </c>
      <c r="J65" s="35" t="s">
        <v>800</v>
      </c>
      <c r="K65" s="46" t="s">
        <v>850</v>
      </c>
    </row>
    <row r="66" spans="1:11" ht="33.950000000000003" customHeight="1" x14ac:dyDescent="0.25">
      <c r="A66" s="31">
        <v>65</v>
      </c>
      <c r="B66" s="31" t="s">
        <v>955</v>
      </c>
      <c r="C66" s="31" t="s">
        <v>37</v>
      </c>
      <c r="D66" s="31" t="s">
        <v>873</v>
      </c>
      <c r="E66" s="45" t="s">
        <v>956</v>
      </c>
      <c r="F66" s="32">
        <v>88</v>
      </c>
      <c r="G66" s="33">
        <v>87</v>
      </c>
      <c r="H66" s="33">
        <v>85</v>
      </c>
      <c r="I66" s="34">
        <f t="shared" ref="I66:I97" si="2">ROUND(F66*0.55+G66*0.3+H66*0.15,0)</f>
        <v>87</v>
      </c>
      <c r="J66" s="31" t="s">
        <v>800</v>
      </c>
      <c r="K66" s="46" t="s">
        <v>850</v>
      </c>
    </row>
    <row r="67" spans="1:11" ht="33.950000000000003" customHeight="1" x14ac:dyDescent="0.25">
      <c r="A67" s="35">
        <v>66</v>
      </c>
      <c r="B67" s="35" t="s">
        <v>957</v>
      </c>
      <c r="C67" s="35" t="s">
        <v>225</v>
      </c>
      <c r="D67" s="35" t="s">
        <v>801</v>
      </c>
      <c r="E67" s="45" t="s">
        <v>863</v>
      </c>
      <c r="F67" s="18">
        <v>88</v>
      </c>
      <c r="G67" s="19">
        <v>87</v>
      </c>
      <c r="H67" s="19">
        <v>85</v>
      </c>
      <c r="I67" s="36">
        <f t="shared" si="2"/>
        <v>87</v>
      </c>
      <c r="J67" s="35" t="s">
        <v>800</v>
      </c>
      <c r="K67" s="46" t="s">
        <v>850</v>
      </c>
    </row>
    <row r="68" spans="1:11" ht="33.950000000000003" customHeight="1" x14ac:dyDescent="0.25">
      <c r="A68" s="31">
        <v>67</v>
      </c>
      <c r="B68" s="31" t="s">
        <v>958</v>
      </c>
      <c r="C68" s="31" t="s">
        <v>959</v>
      </c>
      <c r="D68" s="31" t="s">
        <v>960</v>
      </c>
      <c r="E68" s="45" t="s">
        <v>961</v>
      </c>
      <c r="F68" s="32">
        <v>88</v>
      </c>
      <c r="G68" s="33">
        <v>87</v>
      </c>
      <c r="H68" s="33">
        <v>85</v>
      </c>
      <c r="I68" s="34">
        <f t="shared" si="2"/>
        <v>87</v>
      </c>
      <c r="J68" s="31" t="s">
        <v>800</v>
      </c>
      <c r="K68" s="46" t="s">
        <v>850</v>
      </c>
    </row>
    <row r="69" spans="1:11" ht="33.950000000000003" customHeight="1" x14ac:dyDescent="0.25">
      <c r="A69" s="35">
        <v>68</v>
      </c>
      <c r="B69" s="35" t="s">
        <v>962</v>
      </c>
      <c r="C69" s="35" t="s">
        <v>258</v>
      </c>
      <c r="D69" s="35" t="s">
        <v>963</v>
      </c>
      <c r="E69" s="45" t="s">
        <v>964</v>
      </c>
      <c r="F69" s="18">
        <v>88</v>
      </c>
      <c r="G69" s="19">
        <v>87</v>
      </c>
      <c r="H69" s="19">
        <v>85</v>
      </c>
      <c r="I69" s="36">
        <f t="shared" si="2"/>
        <v>87</v>
      </c>
      <c r="J69" s="35" t="s">
        <v>800</v>
      </c>
      <c r="K69" s="46" t="s">
        <v>850</v>
      </c>
    </row>
    <row r="70" spans="1:11" ht="33.950000000000003" customHeight="1" x14ac:dyDescent="0.25">
      <c r="A70" s="31">
        <v>69</v>
      </c>
      <c r="B70" s="31" t="s">
        <v>965</v>
      </c>
      <c r="C70" s="31" t="s">
        <v>137</v>
      </c>
      <c r="D70" s="31" t="s">
        <v>798</v>
      </c>
      <c r="E70" s="45" t="s">
        <v>915</v>
      </c>
      <c r="F70" s="32">
        <v>88</v>
      </c>
      <c r="G70" s="33">
        <v>87</v>
      </c>
      <c r="H70" s="33">
        <v>85</v>
      </c>
      <c r="I70" s="34">
        <f t="shared" si="2"/>
        <v>87</v>
      </c>
      <c r="J70" s="31" t="s">
        <v>800</v>
      </c>
      <c r="K70" s="46" t="s">
        <v>850</v>
      </c>
    </row>
    <row r="71" spans="1:11" ht="33.950000000000003" customHeight="1" x14ac:dyDescent="0.25">
      <c r="A71" s="35">
        <v>70</v>
      </c>
      <c r="B71" s="35" t="s">
        <v>966</v>
      </c>
      <c r="C71" s="35" t="s">
        <v>113</v>
      </c>
      <c r="D71" s="35" t="s">
        <v>950</v>
      </c>
      <c r="E71" s="45" t="s">
        <v>951</v>
      </c>
      <c r="F71" s="18">
        <v>88</v>
      </c>
      <c r="G71" s="19">
        <v>87</v>
      </c>
      <c r="H71" s="19">
        <v>85</v>
      </c>
      <c r="I71" s="36">
        <f t="shared" si="2"/>
        <v>87</v>
      </c>
      <c r="J71" s="35" t="s">
        <v>800</v>
      </c>
      <c r="K71" s="46" t="s">
        <v>850</v>
      </c>
    </row>
    <row r="72" spans="1:11" ht="33.950000000000003" customHeight="1" x14ac:dyDescent="0.25">
      <c r="A72" s="31">
        <v>71</v>
      </c>
      <c r="B72" s="31" t="s">
        <v>967</v>
      </c>
      <c r="C72" s="31" t="s">
        <v>37</v>
      </c>
      <c r="D72" s="31" t="s">
        <v>968</v>
      </c>
      <c r="E72" s="45" t="s">
        <v>969</v>
      </c>
      <c r="F72" s="32">
        <v>88</v>
      </c>
      <c r="G72" s="33">
        <v>87</v>
      </c>
      <c r="H72" s="33">
        <v>85</v>
      </c>
      <c r="I72" s="34">
        <f t="shared" si="2"/>
        <v>87</v>
      </c>
      <c r="J72" s="31" t="s">
        <v>800</v>
      </c>
      <c r="K72" s="46" t="s">
        <v>850</v>
      </c>
    </row>
    <row r="73" spans="1:11" ht="33.950000000000003" customHeight="1" x14ac:dyDescent="0.25">
      <c r="A73" s="35">
        <v>72</v>
      </c>
      <c r="B73" s="35" t="s">
        <v>970</v>
      </c>
      <c r="C73" s="35" t="s">
        <v>867</v>
      </c>
      <c r="D73" s="35" t="s">
        <v>798</v>
      </c>
      <c r="E73" s="45" t="s">
        <v>915</v>
      </c>
      <c r="F73" s="18">
        <v>88</v>
      </c>
      <c r="G73" s="19">
        <v>87</v>
      </c>
      <c r="H73" s="19">
        <v>85</v>
      </c>
      <c r="I73" s="36">
        <f t="shared" si="2"/>
        <v>87</v>
      </c>
      <c r="J73" s="35" t="s">
        <v>800</v>
      </c>
      <c r="K73" s="46" t="s">
        <v>850</v>
      </c>
    </row>
    <row r="74" spans="1:11" ht="33.950000000000003" customHeight="1" x14ac:dyDescent="0.25">
      <c r="A74" s="31">
        <v>73</v>
      </c>
      <c r="B74" s="31" t="s">
        <v>971</v>
      </c>
      <c r="C74" s="31" t="s">
        <v>867</v>
      </c>
      <c r="D74" s="31" t="s">
        <v>798</v>
      </c>
      <c r="E74" s="45" t="s">
        <v>915</v>
      </c>
      <c r="F74" s="32">
        <v>88</v>
      </c>
      <c r="G74" s="33">
        <v>87</v>
      </c>
      <c r="H74" s="33">
        <v>85</v>
      </c>
      <c r="I74" s="34">
        <f t="shared" si="2"/>
        <v>87</v>
      </c>
      <c r="J74" s="31" t="s">
        <v>800</v>
      </c>
      <c r="K74" s="46" t="s">
        <v>850</v>
      </c>
    </row>
    <row r="75" spans="1:11" ht="33.950000000000003" customHeight="1" x14ac:dyDescent="0.25">
      <c r="A75" s="35">
        <v>74</v>
      </c>
      <c r="B75" s="35" t="s">
        <v>972</v>
      </c>
      <c r="C75" s="35" t="s">
        <v>18</v>
      </c>
      <c r="D75" s="35" t="s">
        <v>973</v>
      </c>
      <c r="E75" s="45" t="s">
        <v>974</v>
      </c>
      <c r="F75" s="18">
        <v>88</v>
      </c>
      <c r="G75" s="19">
        <v>87</v>
      </c>
      <c r="H75" s="19">
        <v>85</v>
      </c>
      <c r="I75" s="36">
        <f t="shared" si="2"/>
        <v>87</v>
      </c>
      <c r="J75" s="35" t="s">
        <v>800</v>
      </c>
      <c r="K75" s="46" t="s">
        <v>850</v>
      </c>
    </row>
    <row r="76" spans="1:11" ht="33.950000000000003" customHeight="1" x14ac:dyDescent="0.25">
      <c r="A76" s="31">
        <v>75</v>
      </c>
      <c r="B76" s="31" t="s">
        <v>975</v>
      </c>
      <c r="C76" s="31" t="s">
        <v>18</v>
      </c>
      <c r="D76" s="31" t="s">
        <v>841</v>
      </c>
      <c r="E76" s="45" t="s">
        <v>976</v>
      </c>
      <c r="F76" s="32">
        <v>88</v>
      </c>
      <c r="G76" s="33">
        <v>87</v>
      </c>
      <c r="H76" s="33">
        <v>85</v>
      </c>
      <c r="I76" s="34">
        <f t="shared" si="2"/>
        <v>87</v>
      </c>
      <c r="J76" s="31" t="s">
        <v>800</v>
      </c>
      <c r="K76" s="46" t="s">
        <v>850</v>
      </c>
    </row>
    <row r="77" spans="1:11" ht="33.950000000000003" customHeight="1" x14ac:dyDescent="0.25">
      <c r="A77" s="35">
        <v>76</v>
      </c>
      <c r="B77" s="35" t="s">
        <v>977</v>
      </c>
      <c r="C77" s="35" t="s">
        <v>238</v>
      </c>
      <c r="D77" s="35" t="s">
        <v>978</v>
      </c>
      <c r="E77" s="45" t="s">
        <v>979</v>
      </c>
      <c r="F77" s="18">
        <v>88</v>
      </c>
      <c r="G77" s="19">
        <v>87</v>
      </c>
      <c r="H77" s="19">
        <v>85</v>
      </c>
      <c r="I77" s="36">
        <f t="shared" si="2"/>
        <v>87</v>
      </c>
      <c r="J77" s="35" t="s">
        <v>800</v>
      </c>
      <c r="K77" s="46" t="s">
        <v>850</v>
      </c>
    </row>
    <row r="78" spans="1:11" ht="33.950000000000003" customHeight="1" x14ac:dyDescent="0.25">
      <c r="A78" s="31">
        <v>77</v>
      </c>
      <c r="B78" s="31" t="s">
        <v>160</v>
      </c>
      <c r="C78" s="31" t="s">
        <v>18</v>
      </c>
      <c r="D78" s="31" t="s">
        <v>980</v>
      </c>
      <c r="E78" s="45" t="s">
        <v>981</v>
      </c>
      <c r="F78" s="32">
        <v>87</v>
      </c>
      <c r="G78" s="33">
        <v>86</v>
      </c>
      <c r="H78" s="33">
        <v>84</v>
      </c>
      <c r="I78" s="34">
        <f t="shared" si="2"/>
        <v>86</v>
      </c>
      <c r="J78" s="31" t="s">
        <v>800</v>
      </c>
      <c r="K78" s="46" t="s">
        <v>850</v>
      </c>
    </row>
    <row r="79" spans="1:11" ht="33.950000000000003" customHeight="1" x14ac:dyDescent="0.25">
      <c r="A79" s="35">
        <v>78</v>
      </c>
      <c r="B79" s="35" t="s">
        <v>602</v>
      </c>
      <c r="C79" s="35" t="s">
        <v>286</v>
      </c>
      <c r="D79" s="35" t="s">
        <v>801</v>
      </c>
      <c r="E79" s="45" t="s">
        <v>863</v>
      </c>
      <c r="F79" s="18">
        <v>87</v>
      </c>
      <c r="G79" s="19">
        <v>86</v>
      </c>
      <c r="H79" s="19">
        <v>84</v>
      </c>
      <c r="I79" s="36">
        <f t="shared" si="2"/>
        <v>86</v>
      </c>
      <c r="J79" s="35" t="s">
        <v>800</v>
      </c>
      <c r="K79" s="46" t="s">
        <v>850</v>
      </c>
    </row>
    <row r="80" spans="1:11" ht="33.950000000000003" customHeight="1" x14ac:dyDescent="0.25">
      <c r="A80" s="31">
        <v>79</v>
      </c>
      <c r="B80" s="31" t="s">
        <v>189</v>
      </c>
      <c r="C80" s="31" t="s">
        <v>286</v>
      </c>
      <c r="D80" s="31" t="s">
        <v>801</v>
      </c>
      <c r="E80" s="44" t="s">
        <v>982</v>
      </c>
      <c r="F80" s="32">
        <v>87</v>
      </c>
      <c r="G80" s="33">
        <v>86</v>
      </c>
      <c r="H80" s="33">
        <v>84</v>
      </c>
      <c r="I80" s="34">
        <f t="shared" si="2"/>
        <v>86</v>
      </c>
      <c r="J80" s="31" t="s">
        <v>800</v>
      </c>
      <c r="K80" s="43" t="s">
        <v>16</v>
      </c>
    </row>
    <row r="81" spans="1:11" ht="33.950000000000003" customHeight="1" x14ac:dyDescent="0.25">
      <c r="A81" s="35">
        <v>80</v>
      </c>
      <c r="B81" s="35" t="s">
        <v>104</v>
      </c>
      <c r="C81" s="35" t="s">
        <v>105</v>
      </c>
      <c r="D81" s="35" t="s">
        <v>801</v>
      </c>
      <c r="E81" s="45" t="s">
        <v>863</v>
      </c>
      <c r="F81" s="18">
        <v>87</v>
      </c>
      <c r="G81" s="19">
        <v>86</v>
      </c>
      <c r="H81" s="19">
        <v>84</v>
      </c>
      <c r="I81" s="36">
        <f t="shared" si="2"/>
        <v>86</v>
      </c>
      <c r="J81" s="35" t="s">
        <v>800</v>
      </c>
      <c r="K81" s="46" t="s">
        <v>850</v>
      </c>
    </row>
    <row r="82" spans="1:11" ht="33.950000000000003" customHeight="1" x14ac:dyDescent="0.25">
      <c r="A82" s="31">
        <v>81</v>
      </c>
      <c r="B82" s="31" t="s">
        <v>983</v>
      </c>
      <c r="C82" s="31" t="s">
        <v>238</v>
      </c>
      <c r="D82" s="31" t="s">
        <v>984</v>
      </c>
      <c r="E82" s="45" t="s">
        <v>985</v>
      </c>
      <c r="F82" s="32">
        <v>86</v>
      </c>
      <c r="G82" s="33">
        <v>86</v>
      </c>
      <c r="H82" s="33">
        <v>92</v>
      </c>
      <c r="I82" s="34">
        <f t="shared" si="2"/>
        <v>87</v>
      </c>
      <c r="J82" s="31" t="s">
        <v>800</v>
      </c>
      <c r="K82" s="46" t="s">
        <v>850</v>
      </c>
    </row>
    <row r="83" spans="1:11" ht="33.950000000000003" customHeight="1" x14ac:dyDescent="0.25">
      <c r="A83" s="35">
        <v>82</v>
      </c>
      <c r="B83" s="35" t="s">
        <v>986</v>
      </c>
      <c r="C83" s="35" t="s">
        <v>752</v>
      </c>
      <c r="D83" s="35" t="s">
        <v>987</v>
      </c>
      <c r="E83" s="45" t="s">
        <v>988</v>
      </c>
      <c r="F83" s="18">
        <v>86</v>
      </c>
      <c r="G83" s="19">
        <v>86</v>
      </c>
      <c r="H83" s="19">
        <v>92</v>
      </c>
      <c r="I83" s="36">
        <f t="shared" si="2"/>
        <v>87</v>
      </c>
      <c r="J83" s="35" t="s">
        <v>800</v>
      </c>
      <c r="K83" s="46" t="s">
        <v>850</v>
      </c>
    </row>
    <row r="84" spans="1:11" ht="33.950000000000003" customHeight="1" x14ac:dyDescent="0.25">
      <c r="A84" s="31">
        <v>83</v>
      </c>
      <c r="B84" s="31" t="s">
        <v>989</v>
      </c>
      <c r="C84" s="31" t="s">
        <v>137</v>
      </c>
      <c r="D84" s="31" t="s">
        <v>801</v>
      </c>
      <c r="E84" s="44" t="s">
        <v>990</v>
      </c>
      <c r="F84" s="32">
        <v>86</v>
      </c>
      <c r="G84" s="33">
        <v>86</v>
      </c>
      <c r="H84" s="33">
        <v>92</v>
      </c>
      <c r="I84" s="34">
        <f t="shared" si="2"/>
        <v>87</v>
      </c>
      <c r="J84" s="31" t="s">
        <v>800</v>
      </c>
      <c r="K84" s="43" t="s">
        <v>16</v>
      </c>
    </row>
    <row r="85" spans="1:11" ht="33.950000000000003" customHeight="1" x14ac:dyDescent="0.25">
      <c r="A85" s="35">
        <v>84</v>
      </c>
      <c r="B85" s="35" t="s">
        <v>991</v>
      </c>
      <c r="C85" s="35" t="s">
        <v>105</v>
      </c>
      <c r="D85" s="35" t="s">
        <v>801</v>
      </c>
      <c r="E85" s="44" t="s">
        <v>992</v>
      </c>
      <c r="F85" s="18">
        <v>86</v>
      </c>
      <c r="G85" s="19">
        <v>86</v>
      </c>
      <c r="H85" s="19">
        <v>92</v>
      </c>
      <c r="I85" s="36">
        <f t="shared" si="2"/>
        <v>87</v>
      </c>
      <c r="J85" s="35" t="s">
        <v>800</v>
      </c>
      <c r="K85" s="43" t="s">
        <v>16</v>
      </c>
    </row>
    <row r="86" spans="1:11" ht="33.950000000000003" customHeight="1" x14ac:dyDescent="0.25">
      <c r="A86" s="31">
        <v>85</v>
      </c>
      <c r="B86" s="31" t="s">
        <v>993</v>
      </c>
      <c r="C86" s="31" t="s">
        <v>286</v>
      </c>
      <c r="D86" s="31" t="s">
        <v>801</v>
      </c>
      <c r="E86" s="44" t="s">
        <v>994</v>
      </c>
      <c r="F86" s="32">
        <v>86</v>
      </c>
      <c r="G86" s="33">
        <v>86</v>
      </c>
      <c r="H86" s="33">
        <v>92</v>
      </c>
      <c r="I86" s="34">
        <f t="shared" si="2"/>
        <v>87</v>
      </c>
      <c r="J86" s="31" t="s">
        <v>800</v>
      </c>
      <c r="K86" s="43" t="s">
        <v>16</v>
      </c>
    </row>
    <row r="87" spans="1:11" ht="33.950000000000003" customHeight="1" x14ac:dyDescent="0.25">
      <c r="A87" s="35">
        <v>86</v>
      </c>
      <c r="B87" s="35" t="s">
        <v>995</v>
      </c>
      <c r="C87" s="35" t="s">
        <v>28</v>
      </c>
      <c r="D87" s="35" t="s">
        <v>801</v>
      </c>
      <c r="E87" s="44" t="s">
        <v>996</v>
      </c>
      <c r="F87" s="18">
        <v>86</v>
      </c>
      <c r="G87" s="19">
        <v>86</v>
      </c>
      <c r="H87" s="19">
        <v>92</v>
      </c>
      <c r="I87" s="36">
        <f t="shared" si="2"/>
        <v>87</v>
      </c>
      <c r="J87" s="35" t="s">
        <v>800</v>
      </c>
      <c r="K87" s="43" t="s">
        <v>16</v>
      </c>
    </row>
    <row r="88" spans="1:11" ht="33.950000000000003" customHeight="1" x14ac:dyDescent="0.25">
      <c r="A88" s="31">
        <v>87</v>
      </c>
      <c r="B88" s="31" t="s">
        <v>997</v>
      </c>
      <c r="C88" s="31" t="s">
        <v>12</v>
      </c>
      <c r="D88" s="31" t="s">
        <v>801</v>
      </c>
      <c r="E88" s="45" t="s">
        <v>863</v>
      </c>
      <c r="F88" s="32">
        <v>86</v>
      </c>
      <c r="G88" s="33">
        <v>86</v>
      </c>
      <c r="H88" s="33">
        <v>92</v>
      </c>
      <c r="I88" s="34">
        <f t="shared" si="2"/>
        <v>87</v>
      </c>
      <c r="J88" s="31" t="s">
        <v>800</v>
      </c>
      <c r="K88" s="46" t="s">
        <v>850</v>
      </c>
    </row>
    <row r="89" spans="1:11" ht="33.950000000000003" customHeight="1" x14ac:dyDescent="0.25">
      <c r="A89" s="35">
        <v>88</v>
      </c>
      <c r="B89" s="35" t="s">
        <v>998</v>
      </c>
      <c r="C89" s="35" t="s">
        <v>18</v>
      </c>
      <c r="D89" s="35" t="s">
        <v>798</v>
      </c>
      <c r="E89" s="44" t="s">
        <v>999</v>
      </c>
      <c r="F89" s="18">
        <v>86</v>
      </c>
      <c r="G89" s="19">
        <v>86</v>
      </c>
      <c r="H89" s="19">
        <v>92</v>
      </c>
      <c r="I89" s="36">
        <f t="shared" si="2"/>
        <v>87</v>
      </c>
      <c r="J89" s="35" t="s">
        <v>800</v>
      </c>
      <c r="K89" s="43" t="s">
        <v>16</v>
      </c>
    </row>
    <row r="90" spans="1:11" ht="33.950000000000003" customHeight="1" x14ac:dyDescent="0.25">
      <c r="A90" s="31">
        <v>89</v>
      </c>
      <c r="B90" s="31" t="s">
        <v>1000</v>
      </c>
      <c r="C90" s="31" t="s">
        <v>28</v>
      </c>
      <c r="D90" s="31" t="s">
        <v>798</v>
      </c>
      <c r="E90" s="44" t="s">
        <v>1001</v>
      </c>
      <c r="F90" s="32">
        <v>86</v>
      </c>
      <c r="G90" s="33">
        <v>86</v>
      </c>
      <c r="H90" s="33">
        <v>92</v>
      </c>
      <c r="I90" s="34">
        <f t="shared" si="2"/>
        <v>87</v>
      </c>
      <c r="J90" s="31" t="s">
        <v>800</v>
      </c>
      <c r="K90" s="43" t="s">
        <v>16</v>
      </c>
    </row>
    <row r="91" spans="1:11" ht="33.950000000000003" customHeight="1" x14ac:dyDescent="0.25">
      <c r="A91" s="35">
        <v>90</v>
      </c>
      <c r="B91" s="35" t="s">
        <v>1002</v>
      </c>
      <c r="C91" s="35" t="s">
        <v>37</v>
      </c>
      <c r="D91" s="35" t="s">
        <v>798</v>
      </c>
      <c r="E91" s="44" t="s">
        <v>1003</v>
      </c>
      <c r="F91" s="18">
        <v>85</v>
      </c>
      <c r="G91" s="19">
        <v>85</v>
      </c>
      <c r="H91" s="19">
        <v>91</v>
      </c>
      <c r="I91" s="36">
        <f t="shared" si="2"/>
        <v>86</v>
      </c>
      <c r="J91" s="35" t="s">
        <v>800</v>
      </c>
      <c r="K91" s="43" t="s">
        <v>16</v>
      </c>
    </row>
    <row r="92" spans="1:11" ht="33.950000000000003" customHeight="1" x14ac:dyDescent="0.25">
      <c r="A92" s="31">
        <v>91</v>
      </c>
      <c r="B92" s="31" t="s">
        <v>1004</v>
      </c>
      <c r="C92" s="31" t="s">
        <v>23</v>
      </c>
      <c r="D92" s="31" t="s">
        <v>798</v>
      </c>
      <c r="E92" s="44" t="s">
        <v>1005</v>
      </c>
      <c r="F92" s="32">
        <v>85</v>
      </c>
      <c r="G92" s="33">
        <v>85</v>
      </c>
      <c r="H92" s="33">
        <v>91</v>
      </c>
      <c r="I92" s="34">
        <f t="shared" si="2"/>
        <v>86</v>
      </c>
      <c r="J92" s="31" t="s">
        <v>800</v>
      </c>
      <c r="K92" s="43" t="s">
        <v>16</v>
      </c>
    </row>
    <row r="93" spans="1:11" ht="33.950000000000003" customHeight="1" x14ac:dyDescent="0.25">
      <c r="A93" s="35">
        <v>92</v>
      </c>
      <c r="B93" s="35" t="s">
        <v>1006</v>
      </c>
      <c r="C93" s="35" t="s">
        <v>18</v>
      </c>
      <c r="D93" s="35" t="s">
        <v>1007</v>
      </c>
      <c r="E93" s="45" t="s">
        <v>1008</v>
      </c>
      <c r="F93" s="18">
        <v>85</v>
      </c>
      <c r="G93" s="19">
        <v>85</v>
      </c>
      <c r="H93" s="19">
        <v>91</v>
      </c>
      <c r="I93" s="36">
        <f t="shared" si="2"/>
        <v>86</v>
      </c>
      <c r="J93" s="35" t="s">
        <v>800</v>
      </c>
      <c r="K93" s="46" t="s">
        <v>850</v>
      </c>
    </row>
    <row r="94" spans="1:11" ht="33.950000000000003" customHeight="1" x14ac:dyDescent="0.25">
      <c r="A94" s="31">
        <v>93</v>
      </c>
      <c r="B94" s="31" t="s">
        <v>1009</v>
      </c>
      <c r="C94" s="31" t="s">
        <v>1010</v>
      </c>
      <c r="D94" s="31" t="s">
        <v>1011</v>
      </c>
      <c r="E94" s="45" t="s">
        <v>1012</v>
      </c>
      <c r="F94" s="32">
        <v>85</v>
      </c>
      <c r="G94" s="33">
        <v>85</v>
      </c>
      <c r="H94" s="33">
        <v>91</v>
      </c>
      <c r="I94" s="34">
        <f t="shared" si="2"/>
        <v>86</v>
      </c>
      <c r="J94" s="31" t="s">
        <v>800</v>
      </c>
      <c r="K94" s="46" t="s">
        <v>850</v>
      </c>
    </row>
    <row r="95" spans="1:11" ht="33.950000000000003" customHeight="1" x14ac:dyDescent="0.25">
      <c r="A95" s="35">
        <v>94</v>
      </c>
      <c r="B95" s="35" t="s">
        <v>1013</v>
      </c>
      <c r="C95" s="35" t="s">
        <v>18</v>
      </c>
      <c r="D95" s="35" t="s">
        <v>1014</v>
      </c>
      <c r="E95" s="45" t="s">
        <v>1015</v>
      </c>
      <c r="F95" s="18">
        <v>85</v>
      </c>
      <c r="G95" s="19">
        <v>85</v>
      </c>
      <c r="H95" s="19">
        <v>91</v>
      </c>
      <c r="I95" s="36">
        <f t="shared" si="2"/>
        <v>86</v>
      </c>
      <c r="J95" s="35" t="s">
        <v>800</v>
      </c>
      <c r="K95" s="46" t="s">
        <v>850</v>
      </c>
    </row>
    <row r="96" spans="1:11" ht="33.950000000000003" customHeight="1" x14ac:dyDescent="0.25">
      <c r="A96" s="31">
        <v>95</v>
      </c>
      <c r="B96" s="31" t="s">
        <v>1016</v>
      </c>
      <c r="C96" s="31" t="s">
        <v>18</v>
      </c>
      <c r="D96" s="31" t="s">
        <v>1017</v>
      </c>
      <c r="E96" s="45" t="s">
        <v>1018</v>
      </c>
      <c r="F96" s="32">
        <v>85</v>
      </c>
      <c r="G96" s="33">
        <v>85</v>
      </c>
      <c r="H96" s="33">
        <v>91</v>
      </c>
      <c r="I96" s="34">
        <f t="shared" si="2"/>
        <v>86</v>
      </c>
      <c r="J96" s="31" t="s">
        <v>800</v>
      </c>
      <c r="K96" s="46" t="s">
        <v>850</v>
      </c>
    </row>
    <row r="97" spans="1:11" ht="33.950000000000003" customHeight="1" x14ac:dyDescent="0.25">
      <c r="A97" s="35">
        <v>96</v>
      </c>
      <c r="B97" s="35" t="s">
        <v>1019</v>
      </c>
      <c r="C97" s="35" t="s">
        <v>238</v>
      </c>
      <c r="D97" s="35" t="s">
        <v>1020</v>
      </c>
      <c r="E97" s="45" t="s">
        <v>1021</v>
      </c>
      <c r="F97" s="18">
        <v>85</v>
      </c>
      <c r="G97" s="19">
        <v>85</v>
      </c>
      <c r="H97" s="19">
        <v>91</v>
      </c>
      <c r="I97" s="36">
        <f t="shared" si="2"/>
        <v>86</v>
      </c>
      <c r="J97" s="35" t="s">
        <v>800</v>
      </c>
      <c r="K97" s="46" t="s">
        <v>850</v>
      </c>
    </row>
    <row r="98" spans="1:11" ht="33.950000000000003" customHeight="1" x14ac:dyDescent="0.25">
      <c r="A98" s="31">
        <v>97</v>
      </c>
      <c r="B98" s="31" t="s">
        <v>1022</v>
      </c>
      <c r="C98" s="31" t="s">
        <v>1023</v>
      </c>
      <c r="D98" s="31" t="s">
        <v>1020</v>
      </c>
      <c r="E98" s="45" t="s">
        <v>1021</v>
      </c>
      <c r="F98" s="32">
        <v>85</v>
      </c>
      <c r="G98" s="33">
        <v>85</v>
      </c>
      <c r="H98" s="33">
        <v>91</v>
      </c>
      <c r="I98" s="34">
        <f t="shared" ref="I98:I129" si="3">ROUND(F98*0.55+G98*0.3+H98*0.15,0)</f>
        <v>86</v>
      </c>
      <c r="J98" s="31" t="s">
        <v>800</v>
      </c>
      <c r="K98" s="46" t="s">
        <v>850</v>
      </c>
    </row>
    <row r="99" spans="1:11" ht="33.950000000000003" customHeight="1" x14ac:dyDescent="0.25">
      <c r="A99" s="35">
        <v>98</v>
      </c>
      <c r="B99" s="35" t="s">
        <v>1024</v>
      </c>
      <c r="C99" s="35" t="s">
        <v>137</v>
      </c>
      <c r="D99" s="35" t="s">
        <v>1020</v>
      </c>
      <c r="E99" s="45" t="s">
        <v>1021</v>
      </c>
      <c r="F99" s="18">
        <v>85</v>
      </c>
      <c r="G99" s="19">
        <v>85</v>
      </c>
      <c r="H99" s="19">
        <v>91</v>
      </c>
      <c r="I99" s="36">
        <f t="shared" si="3"/>
        <v>86</v>
      </c>
      <c r="J99" s="35" t="s">
        <v>800</v>
      </c>
      <c r="K99" s="46" t="s">
        <v>850</v>
      </c>
    </row>
    <row r="100" spans="1:11" ht="33.950000000000003" customHeight="1" x14ac:dyDescent="0.25">
      <c r="A100" s="31">
        <v>99</v>
      </c>
      <c r="B100" s="31" t="s">
        <v>1025</v>
      </c>
      <c r="C100" s="31" t="s">
        <v>862</v>
      </c>
      <c r="D100" s="31" t="s">
        <v>1026</v>
      </c>
      <c r="E100" s="45" t="s">
        <v>1027</v>
      </c>
      <c r="F100" s="32">
        <v>85</v>
      </c>
      <c r="G100" s="33">
        <v>85</v>
      </c>
      <c r="H100" s="33">
        <v>91</v>
      </c>
      <c r="I100" s="34">
        <f t="shared" si="3"/>
        <v>86</v>
      </c>
      <c r="J100" s="31" t="s">
        <v>800</v>
      </c>
      <c r="K100" s="46" t="s">
        <v>850</v>
      </c>
    </row>
    <row r="101" spans="1:11" ht="33.950000000000003" customHeight="1" x14ac:dyDescent="0.25">
      <c r="A101" s="35">
        <v>100</v>
      </c>
      <c r="B101" s="35" t="s">
        <v>1028</v>
      </c>
      <c r="C101" s="35" t="s">
        <v>172</v>
      </c>
      <c r="D101" s="35" t="s">
        <v>1029</v>
      </c>
      <c r="E101" s="45" t="s">
        <v>1030</v>
      </c>
      <c r="F101" s="18">
        <v>85</v>
      </c>
      <c r="G101" s="19">
        <v>85</v>
      </c>
      <c r="H101" s="19">
        <v>91</v>
      </c>
      <c r="I101" s="36">
        <f t="shared" si="3"/>
        <v>86</v>
      </c>
      <c r="J101" s="35" t="s">
        <v>800</v>
      </c>
      <c r="K101" s="46" t="s">
        <v>850</v>
      </c>
    </row>
    <row r="102" spans="1:11" ht="33.950000000000003" customHeight="1" x14ac:dyDescent="0.25">
      <c r="A102" s="31">
        <v>101</v>
      </c>
      <c r="B102" s="31" t="s">
        <v>1031</v>
      </c>
      <c r="C102" s="31" t="s">
        <v>549</v>
      </c>
      <c r="D102" s="31" t="s">
        <v>1032</v>
      </c>
      <c r="E102" s="45" t="s">
        <v>1033</v>
      </c>
      <c r="F102" s="32">
        <v>84</v>
      </c>
      <c r="G102" s="33">
        <v>84</v>
      </c>
      <c r="H102" s="33">
        <v>90</v>
      </c>
      <c r="I102" s="34">
        <f t="shared" si="3"/>
        <v>85</v>
      </c>
      <c r="J102" s="31" t="s">
        <v>800</v>
      </c>
      <c r="K102" s="46" t="s">
        <v>850</v>
      </c>
    </row>
    <row r="103" spans="1:11" ht="33.950000000000003" customHeight="1" x14ac:dyDescent="0.25">
      <c r="A103" s="35">
        <v>102</v>
      </c>
      <c r="B103" s="35" t="s">
        <v>1034</v>
      </c>
      <c r="C103" s="35" t="s">
        <v>867</v>
      </c>
      <c r="D103" s="35" t="s">
        <v>1035</v>
      </c>
      <c r="E103" s="45" t="s">
        <v>1036</v>
      </c>
      <c r="F103" s="18">
        <v>84</v>
      </c>
      <c r="G103" s="19">
        <v>84</v>
      </c>
      <c r="H103" s="19">
        <v>90</v>
      </c>
      <c r="I103" s="36">
        <f t="shared" si="3"/>
        <v>85</v>
      </c>
      <c r="J103" s="35" t="s">
        <v>800</v>
      </c>
      <c r="K103" s="46" t="s">
        <v>850</v>
      </c>
    </row>
    <row r="104" spans="1:11" ht="33.950000000000003" customHeight="1" x14ac:dyDescent="0.25">
      <c r="A104" s="31">
        <v>103</v>
      </c>
      <c r="B104" s="31" t="s">
        <v>1037</v>
      </c>
      <c r="C104" s="31" t="s">
        <v>225</v>
      </c>
      <c r="D104" s="31" t="s">
        <v>927</v>
      </c>
      <c r="E104" s="45" t="s">
        <v>928</v>
      </c>
      <c r="F104" s="32">
        <v>84</v>
      </c>
      <c r="G104" s="33">
        <v>84</v>
      </c>
      <c r="H104" s="33">
        <v>90</v>
      </c>
      <c r="I104" s="34">
        <f t="shared" si="3"/>
        <v>85</v>
      </c>
      <c r="J104" s="31" t="s">
        <v>800</v>
      </c>
      <c r="K104" s="46" t="s">
        <v>850</v>
      </c>
    </row>
    <row r="105" spans="1:11" ht="33.950000000000003" customHeight="1" x14ac:dyDescent="0.25">
      <c r="A105" s="35">
        <v>104</v>
      </c>
      <c r="B105" s="35" t="s">
        <v>1038</v>
      </c>
      <c r="C105" s="35" t="s">
        <v>96</v>
      </c>
      <c r="D105" s="35" t="s">
        <v>1039</v>
      </c>
      <c r="E105" s="45" t="s">
        <v>1040</v>
      </c>
      <c r="F105" s="18">
        <v>84</v>
      </c>
      <c r="G105" s="19">
        <v>84</v>
      </c>
      <c r="H105" s="19">
        <v>90</v>
      </c>
      <c r="I105" s="36">
        <f t="shared" si="3"/>
        <v>85</v>
      </c>
      <c r="J105" s="35" t="s">
        <v>800</v>
      </c>
      <c r="K105" s="46" t="s">
        <v>850</v>
      </c>
    </row>
    <row r="106" spans="1:11" ht="33.950000000000003" customHeight="1" x14ac:dyDescent="0.25">
      <c r="A106" s="31">
        <v>105</v>
      </c>
      <c r="B106" s="31" t="s">
        <v>1041</v>
      </c>
      <c r="C106" s="31" t="s">
        <v>96</v>
      </c>
      <c r="D106" s="31" t="s">
        <v>1042</v>
      </c>
      <c r="E106" s="45" t="s">
        <v>1043</v>
      </c>
      <c r="F106" s="32">
        <v>84</v>
      </c>
      <c r="G106" s="33">
        <v>84</v>
      </c>
      <c r="H106" s="33">
        <v>90</v>
      </c>
      <c r="I106" s="34">
        <f t="shared" si="3"/>
        <v>85</v>
      </c>
      <c r="J106" s="31" t="s">
        <v>800</v>
      </c>
      <c r="K106" s="46" t="s">
        <v>850</v>
      </c>
    </row>
    <row r="107" spans="1:11" ht="33.950000000000003" customHeight="1" x14ac:dyDescent="0.25">
      <c r="A107" s="35">
        <v>106</v>
      </c>
      <c r="B107" s="35" t="s">
        <v>1044</v>
      </c>
      <c r="C107" s="35" t="s">
        <v>96</v>
      </c>
      <c r="D107" s="35" t="s">
        <v>826</v>
      </c>
      <c r="E107" s="45" t="s">
        <v>1045</v>
      </c>
      <c r="F107" s="18">
        <v>84</v>
      </c>
      <c r="G107" s="19">
        <v>84</v>
      </c>
      <c r="H107" s="19">
        <v>90</v>
      </c>
      <c r="I107" s="36">
        <f t="shared" si="3"/>
        <v>85</v>
      </c>
      <c r="J107" s="35" t="s">
        <v>800</v>
      </c>
      <c r="K107" s="46" t="s">
        <v>850</v>
      </c>
    </row>
    <row r="108" spans="1:11" ht="33.950000000000003" customHeight="1" x14ac:dyDescent="0.25">
      <c r="A108" s="31">
        <v>107</v>
      </c>
      <c r="B108" s="31" t="s">
        <v>1046</v>
      </c>
      <c r="C108" s="31" t="s">
        <v>96</v>
      </c>
      <c r="D108" s="31" t="s">
        <v>1047</v>
      </c>
      <c r="E108" s="45" t="s">
        <v>1048</v>
      </c>
      <c r="F108" s="32">
        <v>84</v>
      </c>
      <c r="G108" s="33">
        <v>84</v>
      </c>
      <c r="H108" s="33">
        <v>90</v>
      </c>
      <c r="I108" s="34">
        <f t="shared" si="3"/>
        <v>85</v>
      </c>
      <c r="J108" s="31" t="s">
        <v>800</v>
      </c>
      <c r="K108" s="46" t="s">
        <v>850</v>
      </c>
    </row>
    <row r="109" spans="1:11" ht="33.950000000000003" customHeight="1" x14ac:dyDescent="0.25">
      <c r="A109" s="35">
        <v>108</v>
      </c>
      <c r="B109" s="35" t="s">
        <v>1049</v>
      </c>
      <c r="C109" s="35" t="s">
        <v>96</v>
      </c>
      <c r="D109" s="35" t="s">
        <v>798</v>
      </c>
      <c r="E109" s="45" t="s">
        <v>915</v>
      </c>
      <c r="F109" s="18">
        <v>84</v>
      </c>
      <c r="G109" s="19">
        <v>84</v>
      </c>
      <c r="H109" s="19">
        <v>90</v>
      </c>
      <c r="I109" s="36">
        <f t="shared" si="3"/>
        <v>85</v>
      </c>
      <c r="J109" s="35" t="s">
        <v>800</v>
      </c>
      <c r="K109" s="46" t="s">
        <v>850</v>
      </c>
    </row>
    <row r="110" spans="1:11" ht="33.950000000000003" customHeight="1" x14ac:dyDescent="0.25">
      <c r="A110" s="31">
        <v>109</v>
      </c>
      <c r="B110" s="31" t="s">
        <v>265</v>
      </c>
      <c r="C110" s="31" t="s">
        <v>96</v>
      </c>
      <c r="D110" s="31" t="s">
        <v>1050</v>
      </c>
      <c r="E110" s="45" t="s">
        <v>1051</v>
      </c>
      <c r="F110" s="32">
        <v>84</v>
      </c>
      <c r="G110" s="33">
        <v>84</v>
      </c>
      <c r="H110" s="33">
        <v>90</v>
      </c>
      <c r="I110" s="34">
        <f t="shared" si="3"/>
        <v>85</v>
      </c>
      <c r="J110" s="31" t="s">
        <v>800</v>
      </c>
      <c r="K110" s="46" t="s">
        <v>850</v>
      </c>
    </row>
    <row r="111" spans="1:11" ht="33.950000000000003" customHeight="1" x14ac:dyDescent="0.25">
      <c r="A111" s="35">
        <v>110</v>
      </c>
      <c r="B111" s="35" t="s">
        <v>1052</v>
      </c>
      <c r="C111" s="35" t="s">
        <v>96</v>
      </c>
      <c r="D111" s="35" t="s">
        <v>1053</v>
      </c>
      <c r="E111" s="45" t="s">
        <v>1054</v>
      </c>
      <c r="F111" s="18">
        <v>84</v>
      </c>
      <c r="G111" s="19">
        <v>84</v>
      </c>
      <c r="H111" s="19">
        <v>90</v>
      </c>
      <c r="I111" s="36">
        <f t="shared" si="3"/>
        <v>85</v>
      </c>
      <c r="J111" s="35" t="s">
        <v>800</v>
      </c>
      <c r="K111" s="46" t="s">
        <v>850</v>
      </c>
    </row>
    <row r="112" spans="1:11" ht="33.950000000000003" customHeight="1" x14ac:dyDescent="0.25">
      <c r="A112" s="31">
        <v>111</v>
      </c>
      <c r="B112" s="31" t="s">
        <v>1055</v>
      </c>
      <c r="C112" s="31" t="s">
        <v>37</v>
      </c>
      <c r="D112" s="31" t="s">
        <v>1056</v>
      </c>
      <c r="E112" s="45" t="s">
        <v>1057</v>
      </c>
      <c r="F112" s="32">
        <v>84</v>
      </c>
      <c r="G112" s="33">
        <v>84</v>
      </c>
      <c r="H112" s="33">
        <v>90</v>
      </c>
      <c r="I112" s="34">
        <f t="shared" si="3"/>
        <v>85</v>
      </c>
      <c r="J112" s="31" t="s">
        <v>800</v>
      </c>
      <c r="K112" s="46" t="s">
        <v>850</v>
      </c>
    </row>
    <row r="113" spans="1:11" ht="33.950000000000003" customHeight="1" x14ac:dyDescent="0.25">
      <c r="A113" s="35">
        <v>112</v>
      </c>
      <c r="B113" s="35" t="s">
        <v>1058</v>
      </c>
      <c r="C113" s="35" t="s">
        <v>137</v>
      </c>
      <c r="D113" s="35" t="s">
        <v>1059</v>
      </c>
      <c r="E113" s="45" t="s">
        <v>1060</v>
      </c>
      <c r="F113" s="18">
        <v>84</v>
      </c>
      <c r="G113" s="19">
        <v>84</v>
      </c>
      <c r="H113" s="19">
        <v>90</v>
      </c>
      <c r="I113" s="36">
        <f t="shared" si="3"/>
        <v>85</v>
      </c>
      <c r="J113" s="35" t="s">
        <v>800</v>
      </c>
      <c r="K113" s="46" t="s">
        <v>850</v>
      </c>
    </row>
    <row r="114" spans="1:11" ht="33.950000000000003" customHeight="1" x14ac:dyDescent="0.25">
      <c r="A114" s="31">
        <v>113</v>
      </c>
      <c r="B114" s="31" t="s">
        <v>1061</v>
      </c>
      <c r="C114" s="31" t="s">
        <v>62</v>
      </c>
      <c r="D114" s="31" t="s">
        <v>953</v>
      </c>
      <c r="E114" s="45" t="s">
        <v>954</v>
      </c>
      <c r="F114" s="32">
        <v>84</v>
      </c>
      <c r="G114" s="33">
        <v>84</v>
      </c>
      <c r="H114" s="33">
        <v>90</v>
      </c>
      <c r="I114" s="34">
        <f t="shared" si="3"/>
        <v>85</v>
      </c>
      <c r="J114" s="31" t="s">
        <v>800</v>
      </c>
      <c r="K114" s="46" t="s">
        <v>850</v>
      </c>
    </row>
    <row r="115" spans="1:11" ht="33.950000000000003" customHeight="1" x14ac:dyDescent="0.25">
      <c r="A115" s="35">
        <v>114</v>
      </c>
      <c r="B115" s="35" t="s">
        <v>1062</v>
      </c>
      <c r="C115" s="35" t="s">
        <v>23</v>
      </c>
      <c r="D115" s="35" t="s">
        <v>1063</v>
      </c>
      <c r="E115" s="45" t="s">
        <v>1064</v>
      </c>
      <c r="F115" s="18">
        <v>84</v>
      </c>
      <c r="G115" s="19">
        <v>84</v>
      </c>
      <c r="H115" s="19">
        <v>90</v>
      </c>
      <c r="I115" s="36">
        <f t="shared" si="3"/>
        <v>85</v>
      </c>
      <c r="J115" s="35" t="s">
        <v>800</v>
      </c>
      <c r="K115" s="46" t="s">
        <v>850</v>
      </c>
    </row>
    <row r="116" spans="1:11" ht="33.950000000000003" customHeight="1" x14ac:dyDescent="0.25">
      <c r="A116" s="31">
        <v>115</v>
      </c>
      <c r="B116" s="31" t="s">
        <v>1065</v>
      </c>
      <c r="C116" s="31" t="s">
        <v>1066</v>
      </c>
      <c r="D116" s="31" t="s">
        <v>801</v>
      </c>
      <c r="E116" s="45" t="s">
        <v>863</v>
      </c>
      <c r="F116" s="32">
        <v>84</v>
      </c>
      <c r="G116" s="33">
        <v>84</v>
      </c>
      <c r="H116" s="33">
        <v>90</v>
      </c>
      <c r="I116" s="34">
        <f t="shared" si="3"/>
        <v>85</v>
      </c>
      <c r="J116" s="31" t="s">
        <v>800</v>
      </c>
      <c r="K116" s="46" t="s">
        <v>850</v>
      </c>
    </row>
    <row r="117" spans="1:11" ht="33.950000000000003" customHeight="1" x14ac:dyDescent="0.25">
      <c r="A117" s="35">
        <v>116</v>
      </c>
      <c r="B117" s="35" t="s">
        <v>1067</v>
      </c>
      <c r="C117" s="35" t="s">
        <v>62</v>
      </c>
      <c r="D117" s="35" t="s">
        <v>801</v>
      </c>
      <c r="E117" s="45" t="s">
        <v>863</v>
      </c>
      <c r="F117" s="18">
        <v>84</v>
      </c>
      <c r="G117" s="19">
        <v>84</v>
      </c>
      <c r="H117" s="19">
        <v>90</v>
      </c>
      <c r="I117" s="36">
        <f t="shared" si="3"/>
        <v>85</v>
      </c>
      <c r="J117" s="35" t="s">
        <v>800</v>
      </c>
      <c r="K117" s="46" t="s">
        <v>850</v>
      </c>
    </row>
    <row r="118" spans="1:11" ht="33.950000000000003" customHeight="1" x14ac:dyDescent="0.25">
      <c r="A118" s="31">
        <v>117</v>
      </c>
      <c r="B118" s="31" t="s">
        <v>1068</v>
      </c>
      <c r="C118" s="31" t="s">
        <v>62</v>
      </c>
      <c r="D118" s="31" t="s">
        <v>801</v>
      </c>
      <c r="E118" s="45" t="s">
        <v>863</v>
      </c>
      <c r="F118" s="32">
        <v>84</v>
      </c>
      <c r="G118" s="33">
        <v>84</v>
      </c>
      <c r="H118" s="33">
        <v>90</v>
      </c>
      <c r="I118" s="34">
        <f t="shared" si="3"/>
        <v>85</v>
      </c>
      <c r="J118" s="31" t="s">
        <v>800</v>
      </c>
      <c r="K118" s="46" t="s">
        <v>850</v>
      </c>
    </row>
    <row r="119" spans="1:11" ht="33.950000000000003" customHeight="1" x14ac:dyDescent="0.25">
      <c r="A119" s="35">
        <v>118</v>
      </c>
      <c r="B119" s="35" t="s">
        <v>1069</v>
      </c>
      <c r="C119" s="35" t="s">
        <v>62</v>
      </c>
      <c r="D119" s="35" t="s">
        <v>801</v>
      </c>
      <c r="E119" s="45" t="s">
        <v>863</v>
      </c>
      <c r="F119" s="18">
        <v>83</v>
      </c>
      <c r="G119" s="19">
        <v>83</v>
      </c>
      <c r="H119" s="19">
        <v>89</v>
      </c>
      <c r="I119" s="36">
        <f t="shared" si="3"/>
        <v>84</v>
      </c>
      <c r="J119" s="35" t="s">
        <v>800</v>
      </c>
      <c r="K119" s="46" t="s">
        <v>850</v>
      </c>
    </row>
    <row r="120" spans="1:11" ht="33.950000000000003" customHeight="1" x14ac:dyDescent="0.25">
      <c r="A120" s="31">
        <v>119</v>
      </c>
      <c r="B120" s="31" t="s">
        <v>1070</v>
      </c>
      <c r="C120" s="31" t="s">
        <v>113</v>
      </c>
      <c r="D120" s="31" t="s">
        <v>1071</v>
      </c>
      <c r="E120" s="45" t="s">
        <v>1072</v>
      </c>
      <c r="F120" s="32">
        <v>83</v>
      </c>
      <c r="G120" s="33">
        <v>83</v>
      </c>
      <c r="H120" s="33">
        <v>89</v>
      </c>
      <c r="I120" s="34">
        <f t="shared" si="3"/>
        <v>84</v>
      </c>
      <c r="J120" s="31" t="s">
        <v>800</v>
      </c>
      <c r="K120" s="46" t="s">
        <v>850</v>
      </c>
    </row>
    <row r="121" spans="1:11" ht="33.950000000000003" customHeight="1" x14ac:dyDescent="0.25">
      <c r="A121" s="35">
        <v>120</v>
      </c>
      <c r="B121" s="35" t="s">
        <v>1073</v>
      </c>
      <c r="C121" s="35" t="s">
        <v>1074</v>
      </c>
      <c r="D121" s="35" t="s">
        <v>1075</v>
      </c>
      <c r="E121" s="45" t="s">
        <v>1076</v>
      </c>
      <c r="F121" s="18">
        <v>83</v>
      </c>
      <c r="G121" s="19">
        <v>83</v>
      </c>
      <c r="H121" s="19">
        <v>89</v>
      </c>
      <c r="I121" s="36">
        <f t="shared" si="3"/>
        <v>84</v>
      </c>
      <c r="J121" s="35" t="s">
        <v>800</v>
      </c>
      <c r="K121" s="46" t="s">
        <v>850</v>
      </c>
    </row>
    <row r="122" spans="1:11" ht="33.950000000000003" customHeight="1" x14ac:dyDescent="0.25">
      <c r="A122" s="31">
        <v>121</v>
      </c>
      <c r="B122" s="31" t="s">
        <v>1077</v>
      </c>
      <c r="C122" s="31" t="s">
        <v>304</v>
      </c>
      <c r="D122" s="31" t="s">
        <v>1078</v>
      </c>
      <c r="E122" s="45" t="s">
        <v>1079</v>
      </c>
      <c r="F122" s="32">
        <v>83</v>
      </c>
      <c r="G122" s="33">
        <v>83</v>
      </c>
      <c r="H122" s="33">
        <v>89</v>
      </c>
      <c r="I122" s="34">
        <f t="shared" si="3"/>
        <v>84</v>
      </c>
      <c r="J122" s="31" t="s">
        <v>800</v>
      </c>
      <c r="K122" s="46" t="s">
        <v>850</v>
      </c>
    </row>
    <row r="123" spans="1:11" ht="33.950000000000003" customHeight="1" x14ac:dyDescent="0.25">
      <c r="A123" s="35">
        <v>122</v>
      </c>
      <c r="B123" s="35" t="s">
        <v>1080</v>
      </c>
      <c r="C123" s="35" t="s">
        <v>37</v>
      </c>
      <c r="D123" s="35" t="s">
        <v>1081</v>
      </c>
      <c r="E123" s="45" t="s">
        <v>1082</v>
      </c>
      <c r="F123" s="18">
        <v>83</v>
      </c>
      <c r="G123" s="19">
        <v>83</v>
      </c>
      <c r="H123" s="19">
        <v>89</v>
      </c>
      <c r="I123" s="36">
        <f t="shared" si="3"/>
        <v>84</v>
      </c>
      <c r="J123" s="35" t="s">
        <v>800</v>
      </c>
      <c r="K123" s="46" t="s">
        <v>850</v>
      </c>
    </row>
    <row r="124" spans="1:11" ht="33.950000000000003" customHeight="1" x14ac:dyDescent="0.25">
      <c r="A124" s="31">
        <v>123</v>
      </c>
      <c r="B124" s="31" t="s">
        <v>1083</v>
      </c>
      <c r="C124" s="31" t="s">
        <v>18</v>
      </c>
      <c r="D124" s="31" t="s">
        <v>1084</v>
      </c>
      <c r="E124" s="45" t="s">
        <v>1085</v>
      </c>
      <c r="F124" s="32">
        <v>83</v>
      </c>
      <c r="G124" s="33">
        <v>83</v>
      </c>
      <c r="H124" s="33">
        <v>89</v>
      </c>
      <c r="I124" s="34">
        <f t="shared" si="3"/>
        <v>84</v>
      </c>
      <c r="J124" s="31" t="s">
        <v>800</v>
      </c>
      <c r="K124" s="46" t="s">
        <v>850</v>
      </c>
    </row>
    <row r="125" spans="1:11" ht="33.950000000000003" customHeight="1" x14ac:dyDescent="0.25">
      <c r="A125" s="35">
        <v>124</v>
      </c>
      <c r="B125" s="35" t="s">
        <v>434</v>
      </c>
      <c r="C125" s="35" t="s">
        <v>18</v>
      </c>
      <c r="D125" s="35" t="s">
        <v>1086</v>
      </c>
      <c r="E125" s="45" t="s">
        <v>1087</v>
      </c>
      <c r="F125" s="18">
        <v>83</v>
      </c>
      <c r="G125" s="19">
        <v>83</v>
      </c>
      <c r="H125" s="19">
        <v>89</v>
      </c>
      <c r="I125" s="36">
        <f t="shared" si="3"/>
        <v>84</v>
      </c>
      <c r="J125" s="35" t="s">
        <v>800</v>
      </c>
      <c r="K125" s="46" t="s">
        <v>850</v>
      </c>
    </row>
    <row r="126" spans="1:11" ht="33.950000000000003" customHeight="1" x14ac:dyDescent="0.25">
      <c r="A126" s="31">
        <v>125</v>
      </c>
      <c r="B126" s="31" t="s">
        <v>1088</v>
      </c>
      <c r="C126" s="31" t="s">
        <v>18</v>
      </c>
      <c r="D126" s="31" t="s">
        <v>892</v>
      </c>
      <c r="E126" s="45" t="s">
        <v>903</v>
      </c>
      <c r="F126" s="32">
        <v>83</v>
      </c>
      <c r="G126" s="33">
        <v>83</v>
      </c>
      <c r="H126" s="33">
        <v>89</v>
      </c>
      <c r="I126" s="34">
        <f t="shared" si="3"/>
        <v>84</v>
      </c>
      <c r="J126" s="31" t="s">
        <v>800</v>
      </c>
      <c r="K126" s="46" t="s">
        <v>850</v>
      </c>
    </row>
    <row r="127" spans="1:11" ht="33.950000000000003" customHeight="1" x14ac:dyDescent="0.25">
      <c r="A127" s="35">
        <v>126</v>
      </c>
      <c r="B127" s="35" t="s">
        <v>1089</v>
      </c>
      <c r="C127" s="35" t="s">
        <v>18</v>
      </c>
      <c r="D127" s="35" t="s">
        <v>1090</v>
      </c>
      <c r="E127" s="45" t="s">
        <v>1091</v>
      </c>
      <c r="F127" s="18">
        <v>83</v>
      </c>
      <c r="G127" s="19">
        <v>83</v>
      </c>
      <c r="H127" s="19">
        <v>89</v>
      </c>
      <c r="I127" s="36">
        <f t="shared" si="3"/>
        <v>84</v>
      </c>
      <c r="J127" s="35" t="s">
        <v>800</v>
      </c>
      <c r="K127" s="46" t="s">
        <v>850</v>
      </c>
    </row>
    <row r="128" spans="1:11" ht="33.950000000000003" customHeight="1" x14ac:dyDescent="0.25">
      <c r="A128" s="31">
        <v>127</v>
      </c>
      <c r="B128" s="31" t="s">
        <v>11</v>
      </c>
      <c r="C128" s="31" t="s">
        <v>12</v>
      </c>
      <c r="D128" s="31" t="s">
        <v>798</v>
      </c>
      <c r="E128" s="45" t="s">
        <v>915</v>
      </c>
      <c r="F128" s="32">
        <v>83</v>
      </c>
      <c r="G128" s="33">
        <v>83</v>
      </c>
      <c r="H128" s="33">
        <v>89</v>
      </c>
      <c r="I128" s="34">
        <f t="shared" si="3"/>
        <v>84</v>
      </c>
      <c r="J128" s="31" t="s">
        <v>800</v>
      </c>
      <c r="K128" s="46" t="s">
        <v>850</v>
      </c>
    </row>
    <row r="129" spans="1:11" ht="33.950000000000003" customHeight="1" x14ac:dyDescent="0.25">
      <c r="A129" s="35">
        <v>128</v>
      </c>
      <c r="B129" s="35" t="s">
        <v>129</v>
      </c>
      <c r="C129" s="35" t="s">
        <v>28</v>
      </c>
      <c r="D129" s="35" t="s">
        <v>798</v>
      </c>
      <c r="E129" s="45" t="s">
        <v>915</v>
      </c>
      <c r="F129" s="18">
        <v>83</v>
      </c>
      <c r="G129" s="19">
        <v>83</v>
      </c>
      <c r="H129" s="19">
        <v>89</v>
      </c>
      <c r="I129" s="36">
        <f t="shared" si="3"/>
        <v>84</v>
      </c>
      <c r="J129" s="35" t="s">
        <v>800</v>
      </c>
      <c r="K129" s="46" t="s">
        <v>850</v>
      </c>
    </row>
    <row r="130" spans="1:11" ht="33.950000000000003" customHeight="1" x14ac:dyDescent="0.25">
      <c r="A130" s="31">
        <v>129</v>
      </c>
      <c r="B130" s="31" t="s">
        <v>317</v>
      </c>
      <c r="C130" s="31" t="s">
        <v>1092</v>
      </c>
      <c r="D130" s="31" t="s">
        <v>798</v>
      </c>
      <c r="E130" s="45" t="s">
        <v>915</v>
      </c>
      <c r="F130" s="32">
        <v>83</v>
      </c>
      <c r="G130" s="33">
        <v>83</v>
      </c>
      <c r="H130" s="33">
        <v>89</v>
      </c>
      <c r="I130" s="34">
        <f t="shared" ref="I130:I161" si="4">ROUND(F130*0.55+G130*0.3+H130*0.15,0)</f>
        <v>84</v>
      </c>
      <c r="J130" s="31" t="s">
        <v>800</v>
      </c>
      <c r="K130" s="46" t="s">
        <v>850</v>
      </c>
    </row>
    <row r="131" spans="1:11" ht="33.950000000000003" customHeight="1" x14ac:dyDescent="0.25">
      <c r="A131" s="35">
        <v>130</v>
      </c>
      <c r="B131" s="35" t="s">
        <v>1093</v>
      </c>
      <c r="C131" s="35" t="s">
        <v>286</v>
      </c>
      <c r="D131" s="35" t="s">
        <v>798</v>
      </c>
      <c r="E131" s="45" t="s">
        <v>915</v>
      </c>
      <c r="F131" s="18">
        <v>83</v>
      </c>
      <c r="G131" s="19">
        <v>83</v>
      </c>
      <c r="H131" s="19">
        <v>89</v>
      </c>
      <c r="I131" s="36">
        <f t="shared" si="4"/>
        <v>84</v>
      </c>
      <c r="J131" s="35" t="s">
        <v>800</v>
      </c>
      <c r="K131" s="46" t="s">
        <v>850</v>
      </c>
    </row>
    <row r="132" spans="1:11" ht="33.950000000000003" customHeight="1" x14ac:dyDescent="0.25">
      <c r="A132" s="31">
        <v>131</v>
      </c>
      <c r="B132" s="31" t="s">
        <v>1094</v>
      </c>
      <c r="C132" s="31" t="s">
        <v>18</v>
      </c>
      <c r="D132" s="31" t="s">
        <v>1095</v>
      </c>
      <c r="E132" s="45" t="s">
        <v>1096</v>
      </c>
      <c r="F132" s="32">
        <v>83</v>
      </c>
      <c r="G132" s="33">
        <v>83</v>
      </c>
      <c r="H132" s="33">
        <v>89</v>
      </c>
      <c r="I132" s="34">
        <f t="shared" si="4"/>
        <v>84</v>
      </c>
      <c r="J132" s="31" t="s">
        <v>800</v>
      </c>
      <c r="K132" s="46" t="s">
        <v>850</v>
      </c>
    </row>
    <row r="133" spans="1:11" ht="33.950000000000003" customHeight="1" x14ac:dyDescent="0.25">
      <c r="A133" s="35">
        <v>132</v>
      </c>
      <c r="B133" s="35" t="s">
        <v>1097</v>
      </c>
      <c r="C133" s="35" t="s">
        <v>28</v>
      </c>
      <c r="D133" s="35" t="s">
        <v>848</v>
      </c>
      <c r="E133" s="45" t="s">
        <v>849</v>
      </c>
      <c r="F133" s="18">
        <v>83</v>
      </c>
      <c r="G133" s="19">
        <v>83</v>
      </c>
      <c r="H133" s="19">
        <v>89</v>
      </c>
      <c r="I133" s="36">
        <f t="shared" si="4"/>
        <v>84</v>
      </c>
      <c r="J133" s="35" t="s">
        <v>800</v>
      </c>
      <c r="K133" s="46" t="s">
        <v>850</v>
      </c>
    </row>
    <row r="134" spans="1:11" ht="33.950000000000003" customHeight="1" x14ac:dyDescent="0.25">
      <c r="A134" s="31">
        <v>133</v>
      </c>
      <c r="B134" s="31" t="s">
        <v>1098</v>
      </c>
      <c r="C134" s="31" t="s">
        <v>959</v>
      </c>
      <c r="D134" s="31" t="s">
        <v>1099</v>
      </c>
      <c r="E134" s="45" t="s">
        <v>1100</v>
      </c>
      <c r="F134" s="32">
        <v>83</v>
      </c>
      <c r="G134" s="33">
        <v>83</v>
      </c>
      <c r="H134" s="33">
        <v>89</v>
      </c>
      <c r="I134" s="34">
        <f t="shared" si="4"/>
        <v>84</v>
      </c>
      <c r="J134" s="31" t="s">
        <v>800</v>
      </c>
      <c r="K134" s="46" t="s">
        <v>850</v>
      </c>
    </row>
    <row r="135" spans="1:11" ht="33.950000000000003" customHeight="1" x14ac:dyDescent="0.25">
      <c r="A135" s="35">
        <v>134</v>
      </c>
      <c r="B135" s="35" t="s">
        <v>1101</v>
      </c>
      <c r="C135" s="35" t="s">
        <v>37</v>
      </c>
      <c r="D135" s="35" t="s">
        <v>1102</v>
      </c>
      <c r="E135" s="45" t="s">
        <v>1103</v>
      </c>
      <c r="F135" s="18">
        <v>83</v>
      </c>
      <c r="G135" s="19">
        <v>83</v>
      </c>
      <c r="H135" s="19">
        <v>89</v>
      </c>
      <c r="I135" s="36">
        <f t="shared" si="4"/>
        <v>84</v>
      </c>
      <c r="J135" s="35" t="s">
        <v>800</v>
      </c>
      <c r="K135" s="46" t="s">
        <v>850</v>
      </c>
    </row>
    <row r="136" spans="1:11" ht="33.950000000000003" customHeight="1" x14ac:dyDescent="0.25">
      <c r="A136" s="31">
        <v>135</v>
      </c>
      <c r="B136" s="31" t="s">
        <v>1104</v>
      </c>
      <c r="C136" s="31" t="s">
        <v>37</v>
      </c>
      <c r="D136" s="31" t="s">
        <v>1105</v>
      </c>
      <c r="E136" s="45" t="s">
        <v>1106</v>
      </c>
      <c r="F136" s="32">
        <v>82</v>
      </c>
      <c r="G136" s="33">
        <v>82</v>
      </c>
      <c r="H136" s="33">
        <v>88</v>
      </c>
      <c r="I136" s="34">
        <f t="shared" si="4"/>
        <v>83</v>
      </c>
      <c r="J136" s="31" t="s">
        <v>800</v>
      </c>
      <c r="K136" s="46" t="s">
        <v>850</v>
      </c>
    </row>
    <row r="137" spans="1:11" ht="33.950000000000003" customHeight="1" x14ac:dyDescent="0.25">
      <c r="A137" s="35">
        <v>136</v>
      </c>
      <c r="B137" s="35" t="s">
        <v>1107</v>
      </c>
      <c r="C137" s="35" t="s">
        <v>18</v>
      </c>
      <c r="D137" s="35" t="s">
        <v>1032</v>
      </c>
      <c r="E137" s="45" t="s">
        <v>1033</v>
      </c>
      <c r="F137" s="18">
        <v>82</v>
      </c>
      <c r="G137" s="19">
        <v>82</v>
      </c>
      <c r="H137" s="19">
        <v>88</v>
      </c>
      <c r="I137" s="36">
        <f t="shared" si="4"/>
        <v>83</v>
      </c>
      <c r="J137" s="35" t="s">
        <v>800</v>
      </c>
      <c r="K137" s="46" t="s">
        <v>850</v>
      </c>
    </row>
    <row r="138" spans="1:11" ht="33.950000000000003" customHeight="1" x14ac:dyDescent="0.25">
      <c r="A138" s="31">
        <v>137</v>
      </c>
      <c r="B138" s="31" t="s">
        <v>1108</v>
      </c>
      <c r="C138" s="31" t="s">
        <v>694</v>
      </c>
      <c r="D138" s="31" t="s">
        <v>1109</v>
      </c>
      <c r="E138" s="45" t="s">
        <v>1110</v>
      </c>
      <c r="F138" s="32">
        <v>82</v>
      </c>
      <c r="G138" s="33">
        <v>82</v>
      </c>
      <c r="H138" s="33">
        <v>88</v>
      </c>
      <c r="I138" s="34">
        <f t="shared" si="4"/>
        <v>83</v>
      </c>
      <c r="J138" s="31" t="s">
        <v>800</v>
      </c>
      <c r="K138" s="46" t="s">
        <v>850</v>
      </c>
    </row>
    <row r="139" spans="1:11" ht="33.950000000000003" customHeight="1" x14ac:dyDescent="0.25">
      <c r="A139" s="35">
        <v>138</v>
      </c>
      <c r="B139" s="35" t="s">
        <v>1111</v>
      </c>
      <c r="C139" s="35" t="s">
        <v>18</v>
      </c>
      <c r="D139" s="35" t="s">
        <v>1032</v>
      </c>
      <c r="E139" s="45" t="s">
        <v>1033</v>
      </c>
      <c r="F139" s="18">
        <v>82</v>
      </c>
      <c r="G139" s="19">
        <v>82</v>
      </c>
      <c r="H139" s="19">
        <v>88</v>
      </c>
      <c r="I139" s="36">
        <f t="shared" si="4"/>
        <v>83</v>
      </c>
      <c r="J139" s="35" t="s">
        <v>800</v>
      </c>
      <c r="K139" s="46" t="s">
        <v>850</v>
      </c>
    </row>
    <row r="140" spans="1:11" ht="33.950000000000003" customHeight="1" x14ac:dyDescent="0.25">
      <c r="A140" s="31">
        <v>139</v>
      </c>
      <c r="B140" s="31" t="s">
        <v>1112</v>
      </c>
      <c r="C140" s="31" t="s">
        <v>18</v>
      </c>
      <c r="D140" s="31" t="s">
        <v>826</v>
      </c>
      <c r="E140" s="45" t="s">
        <v>1045</v>
      </c>
      <c r="F140" s="32">
        <v>82</v>
      </c>
      <c r="G140" s="33">
        <v>82</v>
      </c>
      <c r="H140" s="33">
        <v>88</v>
      </c>
      <c r="I140" s="34">
        <f t="shared" si="4"/>
        <v>83</v>
      </c>
      <c r="J140" s="31" t="s">
        <v>800</v>
      </c>
      <c r="K140" s="46" t="s">
        <v>850</v>
      </c>
    </row>
    <row r="141" spans="1:11" ht="33.950000000000003" customHeight="1" x14ac:dyDescent="0.25">
      <c r="A141" s="35">
        <v>140</v>
      </c>
      <c r="B141" s="35" t="s">
        <v>1113</v>
      </c>
      <c r="C141" s="35" t="s">
        <v>1010</v>
      </c>
      <c r="D141" s="35" t="s">
        <v>1114</v>
      </c>
      <c r="E141" s="45" t="s">
        <v>1115</v>
      </c>
      <c r="F141" s="18">
        <v>82</v>
      </c>
      <c r="G141" s="19">
        <v>82</v>
      </c>
      <c r="H141" s="19">
        <v>88</v>
      </c>
      <c r="I141" s="36">
        <f t="shared" si="4"/>
        <v>83</v>
      </c>
      <c r="J141" s="35" t="s">
        <v>800</v>
      </c>
      <c r="K141" s="46" t="s">
        <v>850</v>
      </c>
    </row>
    <row r="142" spans="1:11" ht="33.950000000000003" customHeight="1" x14ac:dyDescent="0.25">
      <c r="A142" s="31">
        <v>141</v>
      </c>
      <c r="B142" s="31" t="s">
        <v>1116</v>
      </c>
      <c r="C142" s="31" t="s">
        <v>18</v>
      </c>
      <c r="D142" s="31" t="s">
        <v>826</v>
      </c>
      <c r="E142" s="45" t="s">
        <v>1045</v>
      </c>
      <c r="F142" s="32">
        <v>82</v>
      </c>
      <c r="G142" s="33">
        <v>82</v>
      </c>
      <c r="H142" s="33">
        <v>88</v>
      </c>
      <c r="I142" s="34">
        <f t="shared" si="4"/>
        <v>83</v>
      </c>
      <c r="J142" s="31" t="s">
        <v>800</v>
      </c>
      <c r="K142" s="46" t="s">
        <v>850</v>
      </c>
    </row>
    <row r="143" spans="1:11" ht="33.950000000000003" customHeight="1" x14ac:dyDescent="0.25">
      <c r="A143" s="35">
        <v>142</v>
      </c>
      <c r="B143" s="35" t="s">
        <v>1117</v>
      </c>
      <c r="C143" s="35" t="s">
        <v>37</v>
      </c>
      <c r="D143" s="35" t="s">
        <v>801</v>
      </c>
      <c r="E143" s="45" t="s">
        <v>863</v>
      </c>
      <c r="F143" s="18">
        <v>82</v>
      </c>
      <c r="G143" s="19">
        <v>82</v>
      </c>
      <c r="H143" s="19">
        <v>88</v>
      </c>
      <c r="I143" s="36">
        <f t="shared" si="4"/>
        <v>83</v>
      </c>
      <c r="J143" s="35" t="s">
        <v>800</v>
      </c>
      <c r="K143" s="46" t="s">
        <v>850</v>
      </c>
    </row>
    <row r="144" spans="1:11" ht="33.950000000000003" customHeight="1" x14ac:dyDescent="0.25">
      <c r="A144" s="31">
        <v>143</v>
      </c>
      <c r="B144" s="31" t="s">
        <v>146</v>
      </c>
      <c r="C144" s="31" t="s">
        <v>18</v>
      </c>
      <c r="D144" s="31" t="s">
        <v>801</v>
      </c>
      <c r="E144" s="45" t="s">
        <v>863</v>
      </c>
      <c r="F144" s="32">
        <v>82</v>
      </c>
      <c r="G144" s="33">
        <v>82</v>
      </c>
      <c r="H144" s="33">
        <v>88</v>
      </c>
      <c r="I144" s="34">
        <f t="shared" si="4"/>
        <v>83</v>
      </c>
      <c r="J144" s="31" t="s">
        <v>800</v>
      </c>
      <c r="K144" s="46" t="s">
        <v>850</v>
      </c>
    </row>
    <row r="145" spans="1:11" ht="33.950000000000003" customHeight="1" x14ac:dyDescent="0.25">
      <c r="A145" s="35">
        <v>144</v>
      </c>
      <c r="B145" s="35" t="s">
        <v>375</v>
      </c>
      <c r="C145" s="35" t="s">
        <v>526</v>
      </c>
      <c r="D145" s="35" t="s">
        <v>801</v>
      </c>
      <c r="E145" s="45" t="s">
        <v>863</v>
      </c>
      <c r="F145" s="18">
        <v>82</v>
      </c>
      <c r="G145" s="19">
        <v>82</v>
      </c>
      <c r="H145" s="19">
        <v>88</v>
      </c>
      <c r="I145" s="36">
        <f t="shared" si="4"/>
        <v>83</v>
      </c>
      <c r="J145" s="35" t="s">
        <v>800</v>
      </c>
      <c r="K145" s="46" t="s">
        <v>850</v>
      </c>
    </row>
    <row r="146" spans="1:11" ht="33.950000000000003" customHeight="1" x14ac:dyDescent="0.25">
      <c r="A146" s="31">
        <v>145</v>
      </c>
      <c r="B146" s="31" t="s">
        <v>1118</v>
      </c>
      <c r="C146" s="31" t="s">
        <v>1119</v>
      </c>
      <c r="D146" s="31" t="s">
        <v>1120</v>
      </c>
      <c r="E146" s="45" t="s">
        <v>1121</v>
      </c>
      <c r="F146" s="32">
        <v>82</v>
      </c>
      <c r="G146" s="33">
        <v>82</v>
      </c>
      <c r="H146" s="33">
        <v>88</v>
      </c>
      <c r="I146" s="34">
        <f t="shared" si="4"/>
        <v>83</v>
      </c>
      <c r="J146" s="31" t="s">
        <v>800</v>
      </c>
      <c r="K146" s="46" t="s">
        <v>850</v>
      </c>
    </row>
    <row r="147" spans="1:11" ht="33.950000000000003" customHeight="1" x14ac:dyDescent="0.25">
      <c r="A147" s="35">
        <v>146</v>
      </c>
      <c r="B147" s="35" t="s">
        <v>1122</v>
      </c>
      <c r="C147" s="35" t="s">
        <v>1123</v>
      </c>
      <c r="D147" s="35" t="s">
        <v>1124</v>
      </c>
      <c r="E147" s="45" t="s">
        <v>1125</v>
      </c>
      <c r="F147" s="18">
        <v>82</v>
      </c>
      <c r="G147" s="19">
        <v>82</v>
      </c>
      <c r="H147" s="19">
        <v>88</v>
      </c>
      <c r="I147" s="36">
        <f t="shared" si="4"/>
        <v>83</v>
      </c>
      <c r="J147" s="35" t="s">
        <v>800</v>
      </c>
      <c r="K147" s="46" t="s">
        <v>850</v>
      </c>
    </row>
    <row r="148" spans="1:11" ht="33.950000000000003" customHeight="1" x14ac:dyDescent="0.25">
      <c r="A148" s="31">
        <v>147</v>
      </c>
      <c r="B148" s="31" t="s">
        <v>1126</v>
      </c>
      <c r="C148" s="31" t="s">
        <v>752</v>
      </c>
      <c r="D148" s="31" t="s">
        <v>1127</v>
      </c>
      <c r="E148" s="45" t="s">
        <v>1128</v>
      </c>
      <c r="F148" s="32">
        <v>82</v>
      </c>
      <c r="G148" s="33">
        <v>82</v>
      </c>
      <c r="H148" s="33">
        <v>88</v>
      </c>
      <c r="I148" s="34">
        <f t="shared" si="4"/>
        <v>83</v>
      </c>
      <c r="J148" s="31" t="s">
        <v>800</v>
      </c>
      <c r="K148" s="46" t="s">
        <v>850</v>
      </c>
    </row>
    <row r="149" spans="1:11" ht="33.950000000000003" customHeight="1" x14ac:dyDescent="0.25">
      <c r="A149" s="35">
        <v>148</v>
      </c>
      <c r="B149" s="35" t="s">
        <v>1129</v>
      </c>
      <c r="C149" s="35" t="s">
        <v>1010</v>
      </c>
      <c r="D149" s="35" t="s">
        <v>1130</v>
      </c>
      <c r="E149" s="45" t="s">
        <v>1131</v>
      </c>
      <c r="F149" s="18">
        <v>82</v>
      </c>
      <c r="G149" s="19">
        <v>82</v>
      </c>
      <c r="H149" s="19">
        <v>88</v>
      </c>
      <c r="I149" s="36">
        <f t="shared" si="4"/>
        <v>83</v>
      </c>
      <c r="J149" s="35" t="s">
        <v>800</v>
      </c>
      <c r="K149" s="46" t="s">
        <v>850</v>
      </c>
    </row>
    <row r="150" spans="1:11" ht="33.950000000000003" customHeight="1" x14ac:dyDescent="0.25">
      <c r="A150" s="31">
        <v>149</v>
      </c>
      <c r="B150" s="31" t="s">
        <v>1132</v>
      </c>
      <c r="C150" s="31" t="s">
        <v>526</v>
      </c>
      <c r="D150" s="31" t="s">
        <v>1124</v>
      </c>
      <c r="E150" s="45" t="s">
        <v>1125</v>
      </c>
      <c r="F150" s="32">
        <v>82</v>
      </c>
      <c r="G150" s="33">
        <v>82</v>
      </c>
      <c r="H150" s="33">
        <v>88</v>
      </c>
      <c r="I150" s="34">
        <f t="shared" si="4"/>
        <v>83</v>
      </c>
      <c r="J150" s="31" t="s">
        <v>800</v>
      </c>
      <c r="K150" s="46" t="s">
        <v>850</v>
      </c>
    </row>
    <row r="151" spans="1:11" ht="33.950000000000003" customHeight="1" x14ac:dyDescent="0.25">
      <c r="A151" s="35">
        <v>150</v>
      </c>
      <c r="B151" s="35" t="s">
        <v>1133</v>
      </c>
      <c r="C151" s="35" t="s">
        <v>18</v>
      </c>
      <c r="D151" s="35" t="s">
        <v>1124</v>
      </c>
      <c r="E151" s="45" t="s">
        <v>1125</v>
      </c>
      <c r="F151" s="18">
        <v>82</v>
      </c>
      <c r="G151" s="19">
        <v>82</v>
      </c>
      <c r="H151" s="19">
        <v>88</v>
      </c>
      <c r="I151" s="36">
        <f t="shared" si="4"/>
        <v>83</v>
      </c>
      <c r="J151" s="35" t="s">
        <v>800</v>
      </c>
      <c r="K151" s="46" t="s">
        <v>850</v>
      </c>
    </row>
    <row r="152" spans="1:11" ht="33.950000000000003" customHeight="1" x14ac:dyDescent="0.25">
      <c r="A152" s="31">
        <v>151</v>
      </c>
      <c r="B152" s="31" t="s">
        <v>1134</v>
      </c>
      <c r="C152" s="31" t="s">
        <v>526</v>
      </c>
      <c r="D152" s="31" t="s">
        <v>1135</v>
      </c>
      <c r="E152" s="45" t="s">
        <v>1136</v>
      </c>
      <c r="F152" s="32">
        <v>81</v>
      </c>
      <c r="G152" s="33">
        <v>81</v>
      </c>
      <c r="H152" s="33">
        <v>87</v>
      </c>
      <c r="I152" s="34">
        <f t="shared" si="4"/>
        <v>82</v>
      </c>
      <c r="J152" s="31" t="s">
        <v>800</v>
      </c>
      <c r="K152" s="46" t="s">
        <v>850</v>
      </c>
    </row>
    <row r="153" spans="1:11" ht="33.950000000000003" customHeight="1" x14ac:dyDescent="0.25">
      <c r="A153" s="35">
        <v>152</v>
      </c>
      <c r="B153" s="35" t="s">
        <v>1137</v>
      </c>
      <c r="C153" s="35" t="s">
        <v>18</v>
      </c>
      <c r="D153" s="35" t="s">
        <v>1138</v>
      </c>
      <c r="E153" s="45" t="s">
        <v>1139</v>
      </c>
      <c r="F153" s="18">
        <v>81</v>
      </c>
      <c r="G153" s="19">
        <v>81</v>
      </c>
      <c r="H153" s="19">
        <v>87</v>
      </c>
      <c r="I153" s="36">
        <f t="shared" si="4"/>
        <v>82</v>
      </c>
      <c r="J153" s="35" t="s">
        <v>800</v>
      </c>
      <c r="K153" s="46" t="s">
        <v>850</v>
      </c>
    </row>
    <row r="154" spans="1:11" ht="33.950000000000003" customHeight="1" x14ac:dyDescent="0.25">
      <c r="A154" s="31">
        <v>153</v>
      </c>
      <c r="B154" s="31" t="s">
        <v>1140</v>
      </c>
      <c r="C154" s="31" t="s">
        <v>238</v>
      </c>
      <c r="D154" s="31" t="s">
        <v>857</v>
      </c>
      <c r="E154" s="45" t="s">
        <v>1141</v>
      </c>
      <c r="F154" s="32">
        <v>81</v>
      </c>
      <c r="G154" s="33">
        <v>81</v>
      </c>
      <c r="H154" s="33">
        <v>87</v>
      </c>
      <c r="I154" s="34">
        <f t="shared" si="4"/>
        <v>82</v>
      </c>
      <c r="J154" s="31" t="s">
        <v>800</v>
      </c>
      <c r="K154" s="46" t="s">
        <v>850</v>
      </c>
    </row>
    <row r="155" spans="1:11" ht="33.950000000000003" customHeight="1" x14ac:dyDescent="0.25">
      <c r="A155" s="35">
        <v>154</v>
      </c>
      <c r="B155" s="35" t="s">
        <v>1142</v>
      </c>
      <c r="C155" s="35" t="s">
        <v>62</v>
      </c>
      <c r="D155" s="35" t="s">
        <v>1143</v>
      </c>
      <c r="E155" s="45" t="s">
        <v>1144</v>
      </c>
      <c r="F155" s="18">
        <v>81</v>
      </c>
      <c r="G155" s="19">
        <v>81</v>
      </c>
      <c r="H155" s="19">
        <v>87</v>
      </c>
      <c r="I155" s="36">
        <f t="shared" si="4"/>
        <v>82</v>
      </c>
      <c r="J155" s="35" t="s">
        <v>800</v>
      </c>
      <c r="K155" s="46" t="s">
        <v>850</v>
      </c>
    </row>
    <row r="156" spans="1:11" ht="33.950000000000003" customHeight="1" x14ac:dyDescent="0.25">
      <c r="A156" s="31">
        <v>155</v>
      </c>
      <c r="B156" s="31" t="s">
        <v>1145</v>
      </c>
      <c r="C156" s="31" t="s">
        <v>1146</v>
      </c>
      <c r="D156" s="31" t="s">
        <v>1147</v>
      </c>
      <c r="E156" s="45" t="s">
        <v>1148</v>
      </c>
      <c r="F156" s="32">
        <v>81</v>
      </c>
      <c r="G156" s="33">
        <v>81</v>
      </c>
      <c r="H156" s="33">
        <v>87</v>
      </c>
      <c r="I156" s="34">
        <f t="shared" si="4"/>
        <v>82</v>
      </c>
      <c r="J156" s="31" t="s">
        <v>800</v>
      </c>
      <c r="K156" s="46" t="s">
        <v>850</v>
      </c>
    </row>
    <row r="157" spans="1:11" ht="33.950000000000003" customHeight="1" x14ac:dyDescent="0.25">
      <c r="A157" s="35">
        <v>156</v>
      </c>
      <c r="B157" s="35" t="s">
        <v>1149</v>
      </c>
      <c r="C157" s="35" t="s">
        <v>18</v>
      </c>
      <c r="D157" s="35" t="s">
        <v>1150</v>
      </c>
      <c r="E157" s="45" t="s">
        <v>1151</v>
      </c>
      <c r="F157" s="18">
        <v>81</v>
      </c>
      <c r="G157" s="19">
        <v>81</v>
      </c>
      <c r="H157" s="19">
        <v>87</v>
      </c>
      <c r="I157" s="36">
        <f t="shared" si="4"/>
        <v>82</v>
      </c>
      <c r="J157" s="35" t="s">
        <v>800</v>
      </c>
      <c r="K157" s="46" t="s">
        <v>850</v>
      </c>
    </row>
    <row r="158" spans="1:11" ht="33.950000000000003" customHeight="1" x14ac:dyDescent="0.25">
      <c r="A158" s="31">
        <v>157</v>
      </c>
      <c r="B158" s="31" t="s">
        <v>1152</v>
      </c>
      <c r="C158" s="31" t="s">
        <v>62</v>
      </c>
      <c r="D158" s="31" t="s">
        <v>1153</v>
      </c>
      <c r="E158" s="45" t="s">
        <v>1154</v>
      </c>
      <c r="F158" s="32">
        <v>81</v>
      </c>
      <c r="G158" s="33">
        <v>81</v>
      </c>
      <c r="H158" s="33">
        <v>87</v>
      </c>
      <c r="I158" s="34">
        <f t="shared" si="4"/>
        <v>82</v>
      </c>
      <c r="J158" s="31" t="s">
        <v>800</v>
      </c>
      <c r="K158" s="46" t="s">
        <v>850</v>
      </c>
    </row>
    <row r="159" spans="1:11" ht="33.950000000000003" customHeight="1" x14ac:dyDescent="0.25">
      <c r="A159" s="35">
        <v>158</v>
      </c>
      <c r="B159" s="35" t="s">
        <v>1155</v>
      </c>
      <c r="C159" s="35" t="s">
        <v>96</v>
      </c>
      <c r="D159" s="35" t="s">
        <v>857</v>
      </c>
      <c r="E159" s="45" t="s">
        <v>1141</v>
      </c>
      <c r="F159" s="18">
        <v>81</v>
      </c>
      <c r="G159" s="19">
        <v>81</v>
      </c>
      <c r="H159" s="19">
        <v>87</v>
      </c>
      <c r="I159" s="36">
        <f t="shared" si="4"/>
        <v>82</v>
      </c>
      <c r="J159" s="35" t="s">
        <v>800</v>
      </c>
      <c r="K159" s="46" t="s">
        <v>850</v>
      </c>
    </row>
    <row r="160" spans="1:11" ht="33.950000000000003" customHeight="1" x14ac:dyDescent="0.25">
      <c r="A160" s="31">
        <v>159</v>
      </c>
      <c r="B160" s="31" t="s">
        <v>1156</v>
      </c>
      <c r="C160" s="31" t="s">
        <v>28</v>
      </c>
      <c r="D160" s="31" t="s">
        <v>1157</v>
      </c>
      <c r="E160" s="45" t="s">
        <v>1158</v>
      </c>
      <c r="F160" s="32">
        <v>81</v>
      </c>
      <c r="G160" s="33">
        <v>81</v>
      </c>
      <c r="H160" s="33">
        <v>87</v>
      </c>
      <c r="I160" s="34">
        <f t="shared" si="4"/>
        <v>82</v>
      </c>
      <c r="J160" s="31" t="s">
        <v>800</v>
      </c>
      <c r="K160" s="46" t="s">
        <v>850</v>
      </c>
    </row>
    <row r="161" spans="1:11" ht="33.950000000000003" customHeight="1" x14ac:dyDescent="0.25">
      <c r="A161" s="35">
        <v>160</v>
      </c>
      <c r="B161" s="35" t="s">
        <v>1159</v>
      </c>
      <c r="C161" s="35" t="s">
        <v>105</v>
      </c>
      <c r="D161" s="35" t="s">
        <v>1160</v>
      </c>
      <c r="E161" s="45" t="s">
        <v>1161</v>
      </c>
      <c r="F161" s="18">
        <v>81</v>
      </c>
      <c r="G161" s="19">
        <v>81</v>
      </c>
      <c r="H161" s="19">
        <v>87</v>
      </c>
      <c r="I161" s="36">
        <f t="shared" si="4"/>
        <v>82</v>
      </c>
      <c r="J161" s="35" t="s">
        <v>800</v>
      </c>
      <c r="K161" s="46" t="s">
        <v>850</v>
      </c>
    </row>
    <row r="162" spans="1:11" ht="33.950000000000003" customHeight="1" x14ac:dyDescent="0.25">
      <c r="A162" s="31">
        <v>161</v>
      </c>
      <c r="B162" s="31" t="s">
        <v>1162</v>
      </c>
      <c r="C162" s="31" t="s">
        <v>37</v>
      </c>
      <c r="D162" s="31" t="s">
        <v>931</v>
      </c>
      <c r="E162" s="45" t="s">
        <v>932</v>
      </c>
      <c r="F162" s="32">
        <v>81</v>
      </c>
      <c r="G162" s="33">
        <v>81</v>
      </c>
      <c r="H162" s="33">
        <v>87</v>
      </c>
      <c r="I162" s="34">
        <f t="shared" ref="I162:I193" si="5">ROUND(F162*0.55+G162*0.3+H162*0.15,0)</f>
        <v>82</v>
      </c>
      <c r="J162" s="31" t="s">
        <v>800</v>
      </c>
      <c r="K162" s="46" t="s">
        <v>850</v>
      </c>
    </row>
    <row r="163" spans="1:11" ht="33.950000000000003" customHeight="1" x14ac:dyDescent="0.25">
      <c r="A163" s="35">
        <v>162</v>
      </c>
      <c r="B163" s="35" t="s">
        <v>1163</v>
      </c>
      <c r="C163" s="35" t="s">
        <v>37</v>
      </c>
      <c r="D163" s="35" t="s">
        <v>1164</v>
      </c>
      <c r="E163" s="45" t="s">
        <v>1165</v>
      </c>
      <c r="F163" s="18">
        <v>81</v>
      </c>
      <c r="G163" s="19">
        <v>81</v>
      </c>
      <c r="H163" s="19">
        <v>87</v>
      </c>
      <c r="I163" s="36">
        <f t="shared" si="5"/>
        <v>82</v>
      </c>
      <c r="J163" s="35" t="s">
        <v>800</v>
      </c>
      <c r="K163" s="46" t="s">
        <v>850</v>
      </c>
    </row>
    <row r="164" spans="1:11" ht="33.950000000000003" customHeight="1" x14ac:dyDescent="0.25">
      <c r="A164" s="31">
        <v>163</v>
      </c>
      <c r="B164" s="31" t="s">
        <v>1166</v>
      </c>
      <c r="C164" s="31" t="s">
        <v>225</v>
      </c>
      <c r="D164" s="31" t="s">
        <v>798</v>
      </c>
      <c r="E164" s="45" t="s">
        <v>915</v>
      </c>
      <c r="F164" s="32">
        <v>81</v>
      </c>
      <c r="G164" s="33">
        <v>81</v>
      </c>
      <c r="H164" s="33">
        <v>87</v>
      </c>
      <c r="I164" s="34">
        <f t="shared" si="5"/>
        <v>82</v>
      </c>
      <c r="J164" s="31" t="s">
        <v>800</v>
      </c>
      <c r="K164" s="46" t="s">
        <v>850</v>
      </c>
    </row>
    <row r="165" spans="1:11" ht="33.950000000000003" customHeight="1" x14ac:dyDescent="0.25">
      <c r="A165" s="35">
        <v>164</v>
      </c>
      <c r="B165" s="35" t="s">
        <v>1167</v>
      </c>
      <c r="C165" s="35" t="s">
        <v>62</v>
      </c>
      <c r="D165" s="35" t="s">
        <v>798</v>
      </c>
      <c r="E165" s="45" t="s">
        <v>915</v>
      </c>
      <c r="F165" s="18">
        <v>81</v>
      </c>
      <c r="G165" s="19">
        <v>81</v>
      </c>
      <c r="H165" s="19">
        <v>87</v>
      </c>
      <c r="I165" s="36">
        <f t="shared" si="5"/>
        <v>82</v>
      </c>
      <c r="J165" s="35" t="s">
        <v>800</v>
      </c>
      <c r="K165" s="46" t="s">
        <v>850</v>
      </c>
    </row>
    <row r="166" spans="1:11" ht="33.950000000000003" customHeight="1" x14ac:dyDescent="0.25">
      <c r="A166" s="31">
        <v>165</v>
      </c>
      <c r="B166" s="31" t="s">
        <v>1168</v>
      </c>
      <c r="C166" s="31" t="s">
        <v>867</v>
      </c>
      <c r="D166" s="31" t="s">
        <v>1169</v>
      </c>
      <c r="E166" s="45" t="s">
        <v>1170</v>
      </c>
      <c r="F166" s="32">
        <v>81</v>
      </c>
      <c r="G166" s="33">
        <v>81</v>
      </c>
      <c r="H166" s="33">
        <v>87</v>
      </c>
      <c r="I166" s="34">
        <f t="shared" si="5"/>
        <v>82</v>
      </c>
      <c r="J166" s="31" t="s">
        <v>800</v>
      </c>
      <c r="K166" s="46" t="s">
        <v>850</v>
      </c>
    </row>
    <row r="167" spans="1:11" ht="33.950000000000003" customHeight="1" x14ac:dyDescent="0.25">
      <c r="A167" s="35">
        <v>166</v>
      </c>
      <c r="B167" s="35" t="s">
        <v>1171</v>
      </c>
      <c r="C167" s="35" t="s">
        <v>28</v>
      </c>
      <c r="D167" s="35" t="s">
        <v>1172</v>
      </c>
      <c r="E167" s="45" t="s">
        <v>1173</v>
      </c>
      <c r="F167" s="18">
        <v>81</v>
      </c>
      <c r="G167" s="19">
        <v>81</v>
      </c>
      <c r="H167" s="19">
        <v>87</v>
      </c>
      <c r="I167" s="36">
        <f t="shared" si="5"/>
        <v>82</v>
      </c>
      <c r="J167" s="35" t="s">
        <v>800</v>
      </c>
      <c r="K167" s="46" t="s">
        <v>850</v>
      </c>
    </row>
    <row r="168" spans="1:11" ht="33.950000000000003" customHeight="1" x14ac:dyDescent="0.25">
      <c r="A168" s="31">
        <v>167</v>
      </c>
      <c r="B168" s="31" t="s">
        <v>1174</v>
      </c>
      <c r="C168" s="31" t="s">
        <v>96</v>
      </c>
      <c r="D168" s="31" t="s">
        <v>1175</v>
      </c>
      <c r="E168" s="45" t="s">
        <v>1176</v>
      </c>
      <c r="F168" s="32">
        <v>81</v>
      </c>
      <c r="G168" s="33">
        <v>81</v>
      </c>
      <c r="H168" s="33">
        <v>87</v>
      </c>
      <c r="I168" s="34">
        <f t="shared" si="5"/>
        <v>82</v>
      </c>
      <c r="J168" s="31" t="s">
        <v>800</v>
      </c>
      <c r="K168" s="46" t="s">
        <v>850</v>
      </c>
    </row>
    <row r="169" spans="1:11" ht="33.950000000000003" customHeight="1" x14ac:dyDescent="0.25">
      <c r="A169" s="35">
        <v>168</v>
      </c>
      <c r="B169" s="35" t="s">
        <v>1177</v>
      </c>
      <c r="C169" s="35" t="s">
        <v>105</v>
      </c>
      <c r="D169" s="35" t="s">
        <v>857</v>
      </c>
      <c r="E169" s="45" t="s">
        <v>1141</v>
      </c>
      <c r="F169" s="18">
        <v>81</v>
      </c>
      <c r="G169" s="19">
        <v>81</v>
      </c>
      <c r="H169" s="19">
        <v>87</v>
      </c>
      <c r="I169" s="36">
        <f t="shared" si="5"/>
        <v>82</v>
      </c>
      <c r="J169" s="35" t="s">
        <v>800</v>
      </c>
      <c r="K169" s="46" t="s">
        <v>850</v>
      </c>
    </row>
    <row r="170" spans="1:11" ht="33.950000000000003" customHeight="1" x14ac:dyDescent="0.25">
      <c r="A170" s="31">
        <v>169</v>
      </c>
      <c r="B170" s="31" t="s">
        <v>1178</v>
      </c>
      <c r="C170" s="31" t="s">
        <v>733</v>
      </c>
      <c r="D170" s="31" t="s">
        <v>838</v>
      </c>
      <c r="E170" s="45" t="s">
        <v>917</v>
      </c>
      <c r="F170" s="32">
        <v>81</v>
      </c>
      <c r="G170" s="33">
        <v>81</v>
      </c>
      <c r="H170" s="33">
        <v>87</v>
      </c>
      <c r="I170" s="34">
        <f t="shared" si="5"/>
        <v>82</v>
      </c>
      <c r="J170" s="31" t="s">
        <v>800</v>
      </c>
      <c r="K170" s="46" t="s">
        <v>850</v>
      </c>
    </row>
    <row r="171" spans="1:11" ht="33.950000000000003" customHeight="1" x14ac:dyDescent="0.25">
      <c r="A171" s="35">
        <v>170</v>
      </c>
      <c r="B171" s="35" t="s">
        <v>1179</v>
      </c>
      <c r="C171" s="35" t="s">
        <v>96</v>
      </c>
      <c r="D171" s="35" t="s">
        <v>1180</v>
      </c>
      <c r="E171" s="45" t="s">
        <v>1181</v>
      </c>
      <c r="F171" s="18">
        <v>81</v>
      </c>
      <c r="G171" s="19">
        <v>81</v>
      </c>
      <c r="H171" s="19">
        <v>87</v>
      </c>
      <c r="I171" s="36">
        <f t="shared" si="5"/>
        <v>82</v>
      </c>
      <c r="J171" s="35" t="s">
        <v>800</v>
      </c>
      <c r="K171" s="46" t="s">
        <v>850</v>
      </c>
    </row>
    <row r="172" spans="1:11" ht="33.950000000000003" customHeight="1" x14ac:dyDescent="0.25">
      <c r="A172" s="31">
        <v>171</v>
      </c>
      <c r="B172" s="31" t="s">
        <v>1182</v>
      </c>
      <c r="C172" s="31" t="s">
        <v>62</v>
      </c>
      <c r="D172" s="31" t="s">
        <v>801</v>
      </c>
      <c r="E172" s="45" t="s">
        <v>863</v>
      </c>
      <c r="F172" s="32">
        <v>80</v>
      </c>
      <c r="G172" s="33">
        <v>80</v>
      </c>
      <c r="H172" s="33">
        <v>86</v>
      </c>
      <c r="I172" s="34">
        <f t="shared" si="5"/>
        <v>81</v>
      </c>
      <c r="J172" s="31" t="s">
        <v>800</v>
      </c>
      <c r="K172" s="46" t="s">
        <v>850</v>
      </c>
    </row>
    <row r="173" spans="1:11" ht="33.950000000000003" customHeight="1" x14ac:dyDescent="0.25">
      <c r="A173" s="35">
        <v>172</v>
      </c>
      <c r="B173" s="35" t="s">
        <v>1183</v>
      </c>
      <c r="C173" s="35" t="s">
        <v>380</v>
      </c>
      <c r="D173" s="35" t="s">
        <v>805</v>
      </c>
      <c r="E173" s="45" t="s">
        <v>1184</v>
      </c>
      <c r="F173" s="18">
        <v>80</v>
      </c>
      <c r="G173" s="19">
        <v>80</v>
      </c>
      <c r="H173" s="19">
        <v>86</v>
      </c>
      <c r="I173" s="36">
        <f t="shared" si="5"/>
        <v>81</v>
      </c>
      <c r="J173" s="35" t="s">
        <v>800</v>
      </c>
      <c r="K173" s="46" t="s">
        <v>850</v>
      </c>
    </row>
    <row r="174" spans="1:11" ht="33.950000000000003" customHeight="1" x14ac:dyDescent="0.25">
      <c r="A174" s="31">
        <v>173</v>
      </c>
      <c r="B174" s="31" t="s">
        <v>1185</v>
      </c>
      <c r="C174" s="31" t="s">
        <v>1092</v>
      </c>
      <c r="D174" s="31" t="s">
        <v>801</v>
      </c>
      <c r="E174" s="45" t="s">
        <v>863</v>
      </c>
      <c r="F174" s="32">
        <v>80</v>
      </c>
      <c r="G174" s="33">
        <v>80</v>
      </c>
      <c r="H174" s="33">
        <v>86</v>
      </c>
      <c r="I174" s="34">
        <f t="shared" si="5"/>
        <v>81</v>
      </c>
      <c r="J174" s="31" t="s">
        <v>800</v>
      </c>
      <c r="K174" s="46" t="s">
        <v>850</v>
      </c>
    </row>
    <row r="175" spans="1:11" ht="33.950000000000003" customHeight="1" x14ac:dyDescent="0.25">
      <c r="A175" s="35">
        <v>174</v>
      </c>
      <c r="B175" s="35" t="s">
        <v>1186</v>
      </c>
      <c r="C175" s="35" t="s">
        <v>62</v>
      </c>
      <c r="D175" s="35" t="s">
        <v>801</v>
      </c>
      <c r="E175" s="45" t="s">
        <v>863</v>
      </c>
      <c r="F175" s="18">
        <v>80</v>
      </c>
      <c r="G175" s="19">
        <v>80</v>
      </c>
      <c r="H175" s="19">
        <v>86</v>
      </c>
      <c r="I175" s="36">
        <f t="shared" si="5"/>
        <v>81</v>
      </c>
      <c r="J175" s="35" t="s">
        <v>800</v>
      </c>
      <c r="K175" s="46" t="s">
        <v>850</v>
      </c>
    </row>
    <row r="176" spans="1:11" ht="33.950000000000003" customHeight="1" x14ac:dyDescent="0.25">
      <c r="A176" s="31">
        <v>175</v>
      </c>
      <c r="B176" s="31" t="s">
        <v>1187</v>
      </c>
      <c r="C176" s="31" t="s">
        <v>28</v>
      </c>
      <c r="D176" s="31" t="s">
        <v>1188</v>
      </c>
      <c r="E176" s="45" t="s">
        <v>1189</v>
      </c>
      <c r="F176" s="32">
        <v>80</v>
      </c>
      <c r="G176" s="33">
        <v>80</v>
      </c>
      <c r="H176" s="33">
        <v>86</v>
      </c>
      <c r="I176" s="34">
        <f t="shared" si="5"/>
        <v>81</v>
      </c>
      <c r="J176" s="31" t="s">
        <v>800</v>
      </c>
      <c r="K176" s="46" t="s">
        <v>850</v>
      </c>
    </row>
    <row r="177" spans="1:11" ht="33.950000000000003" customHeight="1" x14ac:dyDescent="0.25">
      <c r="A177" s="35">
        <v>176</v>
      </c>
      <c r="B177" s="35" t="s">
        <v>1190</v>
      </c>
      <c r="C177" s="35" t="s">
        <v>180</v>
      </c>
      <c r="D177" s="35" t="s">
        <v>801</v>
      </c>
      <c r="E177" s="45" t="s">
        <v>863</v>
      </c>
      <c r="F177" s="18">
        <v>80</v>
      </c>
      <c r="G177" s="19">
        <v>80</v>
      </c>
      <c r="H177" s="19">
        <v>86</v>
      </c>
      <c r="I177" s="36">
        <f t="shared" si="5"/>
        <v>81</v>
      </c>
      <c r="J177" s="35" t="s">
        <v>800</v>
      </c>
      <c r="K177" s="46" t="s">
        <v>850</v>
      </c>
    </row>
    <row r="178" spans="1:11" ht="33.950000000000003" customHeight="1" x14ac:dyDescent="0.25">
      <c r="A178" s="31">
        <v>177</v>
      </c>
      <c r="B178" s="31" t="s">
        <v>1191</v>
      </c>
      <c r="C178" s="31" t="s">
        <v>62</v>
      </c>
      <c r="D178" s="31" t="s">
        <v>801</v>
      </c>
      <c r="E178" s="45" t="s">
        <v>863</v>
      </c>
      <c r="F178" s="32">
        <v>80</v>
      </c>
      <c r="G178" s="33">
        <v>80</v>
      </c>
      <c r="H178" s="33">
        <v>86</v>
      </c>
      <c r="I178" s="34">
        <f t="shared" si="5"/>
        <v>81</v>
      </c>
      <c r="J178" s="31" t="s">
        <v>800</v>
      </c>
      <c r="K178" s="46" t="s">
        <v>850</v>
      </c>
    </row>
    <row r="179" spans="1:11" ht="33.950000000000003" customHeight="1" x14ac:dyDescent="0.25">
      <c r="A179" s="35">
        <v>178</v>
      </c>
      <c r="B179" s="35" t="s">
        <v>1192</v>
      </c>
      <c r="C179" s="35" t="s">
        <v>1193</v>
      </c>
      <c r="D179" s="35" t="s">
        <v>1194</v>
      </c>
      <c r="E179" s="45" t="s">
        <v>1195</v>
      </c>
      <c r="F179" s="18">
        <v>80</v>
      </c>
      <c r="G179" s="19">
        <v>80</v>
      </c>
      <c r="H179" s="19">
        <v>86</v>
      </c>
      <c r="I179" s="36">
        <f t="shared" si="5"/>
        <v>81</v>
      </c>
      <c r="J179" s="35" t="s">
        <v>800</v>
      </c>
      <c r="K179" s="46" t="s">
        <v>850</v>
      </c>
    </row>
    <row r="180" spans="1:11" ht="33.950000000000003" customHeight="1" x14ac:dyDescent="0.25">
      <c r="A180" s="31">
        <v>179</v>
      </c>
      <c r="B180" s="31" t="s">
        <v>1196</v>
      </c>
      <c r="C180" s="31" t="s">
        <v>113</v>
      </c>
      <c r="D180" s="31" t="s">
        <v>801</v>
      </c>
      <c r="E180" s="45" t="s">
        <v>863</v>
      </c>
      <c r="F180" s="32">
        <v>80</v>
      </c>
      <c r="G180" s="33">
        <v>80</v>
      </c>
      <c r="H180" s="33">
        <v>86</v>
      </c>
      <c r="I180" s="34">
        <f t="shared" si="5"/>
        <v>81</v>
      </c>
      <c r="J180" s="31" t="s">
        <v>800</v>
      </c>
      <c r="K180" s="46" t="s">
        <v>850</v>
      </c>
    </row>
    <row r="181" spans="1:11" ht="33.950000000000003" customHeight="1" x14ac:dyDescent="0.25">
      <c r="A181" s="35">
        <v>180</v>
      </c>
      <c r="B181" s="35" t="s">
        <v>1197</v>
      </c>
      <c r="C181" s="35" t="s">
        <v>225</v>
      </c>
      <c r="D181" s="35" t="s">
        <v>801</v>
      </c>
      <c r="E181" s="45" t="s">
        <v>863</v>
      </c>
      <c r="F181" s="18">
        <v>80</v>
      </c>
      <c r="G181" s="19">
        <v>80</v>
      </c>
      <c r="H181" s="19">
        <v>86</v>
      </c>
      <c r="I181" s="36">
        <f t="shared" si="5"/>
        <v>81</v>
      </c>
      <c r="J181" s="35" t="s">
        <v>800</v>
      </c>
      <c r="K181" s="46" t="s">
        <v>850</v>
      </c>
    </row>
    <row r="182" spans="1:11" ht="33.950000000000003" customHeight="1" x14ac:dyDescent="0.25">
      <c r="A182" s="31">
        <v>181</v>
      </c>
      <c r="B182" s="31" t="s">
        <v>1198</v>
      </c>
      <c r="C182" s="31" t="s">
        <v>37</v>
      </c>
      <c r="D182" s="31" t="s">
        <v>801</v>
      </c>
      <c r="E182" s="45" t="s">
        <v>863</v>
      </c>
      <c r="F182" s="32">
        <v>80</v>
      </c>
      <c r="G182" s="33">
        <v>80</v>
      </c>
      <c r="H182" s="33">
        <v>86</v>
      </c>
      <c r="I182" s="34">
        <f t="shared" si="5"/>
        <v>81</v>
      </c>
      <c r="J182" s="31" t="s">
        <v>800</v>
      </c>
      <c r="K182" s="46" t="s">
        <v>850</v>
      </c>
    </row>
    <row r="183" spans="1:11" ht="33.950000000000003" customHeight="1" x14ac:dyDescent="0.25">
      <c r="A183" s="35">
        <v>182</v>
      </c>
      <c r="B183" s="35" t="s">
        <v>1199</v>
      </c>
      <c r="C183" s="35" t="s">
        <v>28</v>
      </c>
      <c r="D183" s="35" t="s">
        <v>801</v>
      </c>
      <c r="E183" s="45" t="s">
        <v>863</v>
      </c>
      <c r="F183" s="18">
        <v>80</v>
      </c>
      <c r="G183" s="19">
        <v>80</v>
      </c>
      <c r="H183" s="19">
        <v>86</v>
      </c>
      <c r="I183" s="36">
        <f t="shared" si="5"/>
        <v>81</v>
      </c>
      <c r="J183" s="35" t="s">
        <v>800</v>
      </c>
      <c r="K183" s="46" t="s">
        <v>850</v>
      </c>
    </row>
    <row r="184" spans="1:11" ht="33.950000000000003" customHeight="1" x14ac:dyDescent="0.25">
      <c r="A184" s="31">
        <v>183</v>
      </c>
      <c r="B184" s="31" t="s">
        <v>1200</v>
      </c>
      <c r="C184" s="31" t="s">
        <v>105</v>
      </c>
      <c r="D184" s="31" t="s">
        <v>1201</v>
      </c>
      <c r="E184" s="45" t="s">
        <v>1202</v>
      </c>
      <c r="F184" s="32">
        <v>80</v>
      </c>
      <c r="G184" s="33">
        <v>80</v>
      </c>
      <c r="H184" s="33">
        <v>86</v>
      </c>
      <c r="I184" s="34">
        <f t="shared" si="5"/>
        <v>81</v>
      </c>
      <c r="J184" s="31" t="s">
        <v>800</v>
      </c>
      <c r="K184" s="46" t="s">
        <v>850</v>
      </c>
    </row>
    <row r="185" spans="1:11" ht="33.950000000000003" customHeight="1" x14ac:dyDescent="0.25">
      <c r="A185" s="35">
        <v>184</v>
      </c>
      <c r="B185" s="35" t="s">
        <v>1203</v>
      </c>
      <c r="C185" s="35" t="s">
        <v>18</v>
      </c>
      <c r="D185" s="35" t="s">
        <v>1204</v>
      </c>
      <c r="E185" s="45" t="s">
        <v>1205</v>
      </c>
      <c r="F185" s="18">
        <v>80</v>
      </c>
      <c r="G185" s="19">
        <v>80</v>
      </c>
      <c r="H185" s="19">
        <v>86</v>
      </c>
      <c r="I185" s="36">
        <f t="shared" si="5"/>
        <v>81</v>
      </c>
      <c r="J185" s="35" t="s">
        <v>800</v>
      </c>
      <c r="K185" s="46" t="s">
        <v>850</v>
      </c>
    </row>
    <row r="186" spans="1:11" ht="33.950000000000003" customHeight="1" x14ac:dyDescent="0.25">
      <c r="A186" s="31">
        <v>185</v>
      </c>
      <c r="B186" s="31" t="s">
        <v>1206</v>
      </c>
      <c r="C186" s="31" t="s">
        <v>225</v>
      </c>
      <c r="D186" s="31" t="s">
        <v>1207</v>
      </c>
      <c r="E186" s="45" t="s">
        <v>1208</v>
      </c>
      <c r="F186" s="32">
        <v>80</v>
      </c>
      <c r="G186" s="33">
        <v>80</v>
      </c>
      <c r="H186" s="33">
        <v>86</v>
      </c>
      <c r="I186" s="34">
        <f t="shared" si="5"/>
        <v>81</v>
      </c>
      <c r="J186" s="31" t="s">
        <v>800</v>
      </c>
      <c r="K186" s="46" t="s">
        <v>850</v>
      </c>
    </row>
    <row r="187" spans="1:11" ht="33.950000000000003" customHeight="1" x14ac:dyDescent="0.25">
      <c r="A187" s="35">
        <v>186</v>
      </c>
      <c r="B187" s="35" t="s">
        <v>1209</v>
      </c>
      <c r="C187" s="35" t="s">
        <v>18</v>
      </c>
      <c r="D187" s="35" t="s">
        <v>1210</v>
      </c>
      <c r="E187" s="45" t="s">
        <v>1211</v>
      </c>
      <c r="F187" s="18">
        <v>80</v>
      </c>
      <c r="G187" s="19">
        <v>80</v>
      </c>
      <c r="H187" s="19">
        <v>86</v>
      </c>
      <c r="I187" s="36">
        <f t="shared" si="5"/>
        <v>81</v>
      </c>
      <c r="J187" s="35" t="s">
        <v>800</v>
      </c>
      <c r="K187" s="46" t="s">
        <v>850</v>
      </c>
    </row>
    <row r="188" spans="1:11" ht="33.950000000000003" customHeight="1" x14ac:dyDescent="0.25">
      <c r="A188" s="31">
        <v>187</v>
      </c>
      <c r="B188" s="31" t="s">
        <v>1212</v>
      </c>
      <c r="C188" s="31" t="s">
        <v>514</v>
      </c>
      <c r="D188" s="31" t="s">
        <v>1213</v>
      </c>
      <c r="E188" s="45" t="s">
        <v>1214</v>
      </c>
      <c r="F188" s="32">
        <v>80</v>
      </c>
      <c r="G188" s="33">
        <v>80</v>
      </c>
      <c r="H188" s="33">
        <v>86</v>
      </c>
      <c r="I188" s="34">
        <f t="shared" si="5"/>
        <v>81</v>
      </c>
      <c r="J188" s="31" t="s">
        <v>800</v>
      </c>
      <c r="K188" s="46" t="s">
        <v>850</v>
      </c>
    </row>
    <row r="189" spans="1:11" ht="33.950000000000003" customHeight="1" x14ac:dyDescent="0.25">
      <c r="A189" s="35">
        <v>188</v>
      </c>
      <c r="B189" s="35" t="s">
        <v>1215</v>
      </c>
      <c r="C189" s="35" t="s">
        <v>62</v>
      </c>
      <c r="D189" s="35" t="s">
        <v>943</v>
      </c>
      <c r="E189" s="45" t="s">
        <v>944</v>
      </c>
      <c r="F189" s="18">
        <v>80</v>
      </c>
      <c r="G189" s="19">
        <v>80</v>
      </c>
      <c r="H189" s="19">
        <v>86</v>
      </c>
      <c r="I189" s="36">
        <f t="shared" si="5"/>
        <v>81</v>
      </c>
      <c r="J189" s="35" t="s">
        <v>800</v>
      </c>
      <c r="K189" s="46" t="s">
        <v>850</v>
      </c>
    </row>
    <row r="190" spans="1:11" ht="33.950000000000003" customHeight="1" x14ac:dyDescent="0.25">
      <c r="A190" s="31">
        <v>189</v>
      </c>
      <c r="B190" s="31" t="s">
        <v>1216</v>
      </c>
      <c r="C190" s="31" t="s">
        <v>137</v>
      </c>
      <c r="D190" s="31" t="s">
        <v>1217</v>
      </c>
      <c r="E190" s="45" t="s">
        <v>1218</v>
      </c>
      <c r="F190" s="32">
        <v>80</v>
      </c>
      <c r="G190" s="33">
        <v>80</v>
      </c>
      <c r="H190" s="33">
        <v>86</v>
      </c>
      <c r="I190" s="34">
        <f t="shared" si="5"/>
        <v>81</v>
      </c>
      <c r="J190" s="31" t="s">
        <v>800</v>
      </c>
      <c r="K190" s="46" t="s">
        <v>850</v>
      </c>
    </row>
    <row r="191" spans="1:11" ht="33.950000000000003" customHeight="1" x14ac:dyDescent="0.25">
      <c r="A191" s="35">
        <v>190</v>
      </c>
      <c r="B191" s="35" t="s">
        <v>1219</v>
      </c>
      <c r="C191" s="35" t="s">
        <v>122</v>
      </c>
      <c r="D191" s="35" t="s">
        <v>1217</v>
      </c>
      <c r="E191" s="45" t="s">
        <v>1218</v>
      </c>
      <c r="F191" s="18">
        <v>80</v>
      </c>
      <c r="G191" s="19">
        <v>80</v>
      </c>
      <c r="H191" s="19">
        <v>86</v>
      </c>
      <c r="I191" s="36">
        <f t="shared" si="5"/>
        <v>81</v>
      </c>
      <c r="J191" s="35" t="s">
        <v>800</v>
      </c>
      <c r="K191" s="46" t="s">
        <v>850</v>
      </c>
    </row>
    <row r="192" spans="1:11" ht="33.950000000000003" customHeight="1" x14ac:dyDescent="0.25">
      <c r="A192" s="31">
        <v>191</v>
      </c>
      <c r="B192" s="31" t="s">
        <v>1220</v>
      </c>
      <c r="C192" s="31" t="s">
        <v>1193</v>
      </c>
      <c r="D192" s="31" t="s">
        <v>1050</v>
      </c>
      <c r="E192" s="45" t="s">
        <v>1051</v>
      </c>
      <c r="F192" s="32">
        <v>79</v>
      </c>
      <c r="G192" s="33">
        <v>79</v>
      </c>
      <c r="H192" s="33">
        <v>85</v>
      </c>
      <c r="I192" s="34">
        <f t="shared" si="5"/>
        <v>80</v>
      </c>
      <c r="J192" s="31" t="s">
        <v>800</v>
      </c>
      <c r="K192" s="46" t="s">
        <v>850</v>
      </c>
    </row>
    <row r="193" spans="1:11" ht="33.950000000000003" customHeight="1" x14ac:dyDescent="0.25">
      <c r="A193" s="35">
        <v>192</v>
      </c>
      <c r="B193" s="35" t="s">
        <v>1221</v>
      </c>
      <c r="C193" s="35" t="s">
        <v>225</v>
      </c>
      <c r="D193" s="35" t="s">
        <v>1047</v>
      </c>
      <c r="E193" s="45" t="s">
        <v>1048</v>
      </c>
      <c r="F193" s="18">
        <v>79</v>
      </c>
      <c r="G193" s="19">
        <v>79</v>
      </c>
      <c r="H193" s="19">
        <v>85</v>
      </c>
      <c r="I193" s="36">
        <f t="shared" si="5"/>
        <v>80</v>
      </c>
      <c r="J193" s="35" t="s">
        <v>800</v>
      </c>
      <c r="K193" s="46" t="s">
        <v>850</v>
      </c>
    </row>
    <row r="194" spans="1:11" ht="33.950000000000003" customHeight="1" x14ac:dyDescent="0.25">
      <c r="A194" s="31">
        <v>193</v>
      </c>
      <c r="B194" s="31" t="s">
        <v>1222</v>
      </c>
      <c r="C194" s="31" t="s">
        <v>62</v>
      </c>
      <c r="D194" s="31" t="s">
        <v>801</v>
      </c>
      <c r="E194" s="45" t="s">
        <v>863</v>
      </c>
      <c r="F194" s="32">
        <v>79</v>
      </c>
      <c r="G194" s="33">
        <v>79</v>
      </c>
      <c r="H194" s="33">
        <v>85</v>
      </c>
      <c r="I194" s="34">
        <f t="shared" ref="I194:I225" si="6">ROUND(F194*0.55+G194*0.3+H194*0.15,0)</f>
        <v>80</v>
      </c>
      <c r="J194" s="31" t="s">
        <v>800</v>
      </c>
      <c r="K194" s="46" t="s">
        <v>850</v>
      </c>
    </row>
    <row r="195" spans="1:11" ht="33.950000000000003" customHeight="1" x14ac:dyDescent="0.25">
      <c r="A195" s="35">
        <v>194</v>
      </c>
      <c r="B195" s="35" t="s">
        <v>1223</v>
      </c>
      <c r="C195" s="35" t="s">
        <v>1224</v>
      </c>
      <c r="D195" s="35" t="s">
        <v>798</v>
      </c>
      <c r="E195" s="45" t="s">
        <v>915</v>
      </c>
      <c r="F195" s="18">
        <v>79</v>
      </c>
      <c r="G195" s="19">
        <v>79</v>
      </c>
      <c r="H195" s="19">
        <v>85</v>
      </c>
      <c r="I195" s="36">
        <f t="shared" si="6"/>
        <v>80</v>
      </c>
      <c r="J195" s="35" t="s">
        <v>800</v>
      </c>
      <c r="K195" s="46" t="s">
        <v>850</v>
      </c>
    </row>
    <row r="196" spans="1:11" ht="33.950000000000003" customHeight="1" x14ac:dyDescent="0.25">
      <c r="A196" s="31">
        <v>195</v>
      </c>
      <c r="B196" s="31" t="s">
        <v>140</v>
      </c>
      <c r="C196" s="31" t="s">
        <v>122</v>
      </c>
      <c r="D196" s="31" t="s">
        <v>798</v>
      </c>
      <c r="E196" s="45" t="s">
        <v>915</v>
      </c>
      <c r="F196" s="32">
        <v>79</v>
      </c>
      <c r="G196" s="33">
        <v>79</v>
      </c>
      <c r="H196" s="33">
        <v>85</v>
      </c>
      <c r="I196" s="34">
        <f t="shared" si="6"/>
        <v>80</v>
      </c>
      <c r="J196" s="31" t="s">
        <v>800</v>
      </c>
      <c r="K196" s="46" t="s">
        <v>850</v>
      </c>
    </row>
    <row r="197" spans="1:11" ht="33.950000000000003" customHeight="1" x14ac:dyDescent="0.25">
      <c r="A197" s="35">
        <v>196</v>
      </c>
      <c r="B197" s="35" t="s">
        <v>499</v>
      </c>
      <c r="C197" s="35" t="s">
        <v>122</v>
      </c>
      <c r="D197" s="35" t="s">
        <v>798</v>
      </c>
      <c r="E197" s="45" t="s">
        <v>915</v>
      </c>
      <c r="F197" s="18">
        <v>79</v>
      </c>
      <c r="G197" s="19">
        <v>79</v>
      </c>
      <c r="H197" s="19">
        <v>85</v>
      </c>
      <c r="I197" s="36">
        <f t="shared" si="6"/>
        <v>80</v>
      </c>
      <c r="J197" s="35" t="s">
        <v>800</v>
      </c>
      <c r="K197" s="46" t="s">
        <v>850</v>
      </c>
    </row>
    <row r="198" spans="1:11" ht="33.950000000000003" customHeight="1" x14ac:dyDescent="0.25">
      <c r="A198" s="31">
        <v>197</v>
      </c>
      <c r="B198" s="31" t="s">
        <v>1225</v>
      </c>
      <c r="C198" s="31" t="s">
        <v>18</v>
      </c>
      <c r="D198" s="31" t="s">
        <v>931</v>
      </c>
      <c r="E198" s="45" t="s">
        <v>932</v>
      </c>
      <c r="F198" s="32">
        <v>79</v>
      </c>
      <c r="G198" s="33">
        <v>79</v>
      </c>
      <c r="H198" s="33">
        <v>85</v>
      </c>
      <c r="I198" s="34">
        <f t="shared" si="6"/>
        <v>80</v>
      </c>
      <c r="J198" s="31" t="s">
        <v>800</v>
      </c>
      <c r="K198" s="46" t="s">
        <v>850</v>
      </c>
    </row>
    <row r="199" spans="1:11" ht="33.950000000000003" customHeight="1" x14ac:dyDescent="0.25">
      <c r="A199" s="35">
        <v>198</v>
      </c>
      <c r="B199" s="35" t="s">
        <v>1226</v>
      </c>
      <c r="C199" s="35" t="s">
        <v>1227</v>
      </c>
      <c r="D199" s="35" t="s">
        <v>801</v>
      </c>
      <c r="E199" s="45" t="s">
        <v>863</v>
      </c>
      <c r="F199" s="18">
        <v>79</v>
      </c>
      <c r="G199" s="19">
        <v>79</v>
      </c>
      <c r="H199" s="19">
        <v>85</v>
      </c>
      <c r="I199" s="36">
        <f t="shared" si="6"/>
        <v>80</v>
      </c>
      <c r="J199" s="35" t="s">
        <v>800</v>
      </c>
      <c r="K199" s="46" t="s">
        <v>850</v>
      </c>
    </row>
    <row r="200" spans="1:11" ht="33.950000000000003" customHeight="1" x14ac:dyDescent="0.25">
      <c r="A200" s="31">
        <v>199</v>
      </c>
      <c r="B200" s="31" t="s">
        <v>1228</v>
      </c>
      <c r="C200" s="31" t="s">
        <v>549</v>
      </c>
      <c r="D200" s="31" t="s">
        <v>805</v>
      </c>
      <c r="E200" s="45" t="s">
        <v>1184</v>
      </c>
      <c r="F200" s="32">
        <v>79</v>
      </c>
      <c r="G200" s="33">
        <v>79</v>
      </c>
      <c r="H200" s="33">
        <v>85</v>
      </c>
      <c r="I200" s="34">
        <f t="shared" si="6"/>
        <v>80</v>
      </c>
      <c r="J200" s="31" t="s">
        <v>800</v>
      </c>
      <c r="K200" s="46" t="s">
        <v>850</v>
      </c>
    </row>
    <row r="201" spans="1:11" ht="33.950000000000003" customHeight="1" x14ac:dyDescent="0.25">
      <c r="A201" s="35">
        <v>200</v>
      </c>
      <c r="B201" s="35" t="s">
        <v>1229</v>
      </c>
      <c r="C201" s="35" t="s">
        <v>1123</v>
      </c>
      <c r="D201" s="35" t="s">
        <v>1230</v>
      </c>
      <c r="E201" s="45" t="s">
        <v>1231</v>
      </c>
      <c r="F201" s="18">
        <v>79</v>
      </c>
      <c r="G201" s="19">
        <v>79</v>
      </c>
      <c r="H201" s="19">
        <v>85</v>
      </c>
      <c r="I201" s="36">
        <f t="shared" si="6"/>
        <v>80</v>
      </c>
      <c r="J201" s="35" t="s">
        <v>800</v>
      </c>
      <c r="K201" s="46" t="s">
        <v>850</v>
      </c>
    </row>
  </sheetData>
  <conditionalFormatting sqref="I2:I201">
    <cfRule type="colorScale" priority="1">
      <colorScale>
        <cfvo type="min"/>
        <cfvo type="percentile" val="55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1"/>
  <sheetViews>
    <sheetView showGridLines="0" workbookViewId="0">
      <pane ySplit="1" topLeftCell="A8" activePane="bottomLeft" state="frozen"/>
      <selection pane="bottomLeft" activeCell="F9" sqref="F9"/>
    </sheetView>
  </sheetViews>
  <sheetFormatPr defaultRowHeight="15" x14ac:dyDescent="0.25"/>
  <cols>
    <col min="1" max="1" width="8" customWidth="1"/>
    <col min="2" max="2" width="28" customWidth="1"/>
    <col min="3" max="3" width="18" customWidth="1"/>
    <col min="4" max="4" width="55" customWidth="1"/>
    <col min="5" max="5" width="44" customWidth="1"/>
    <col min="6" max="7" width="13" customWidth="1"/>
    <col min="8" max="8" width="15" customWidth="1"/>
    <col min="9" max="9" width="14" customWidth="1"/>
    <col min="10" max="10" width="76" customWidth="1"/>
    <col min="11" max="11" width="18" customWidth="1"/>
  </cols>
  <sheetData>
    <row r="1" spans="1:11" ht="30" customHeight="1" x14ac:dyDescent="0.25">
      <c r="A1" s="4" t="s">
        <v>0</v>
      </c>
      <c r="B1" s="4" t="s">
        <v>1</v>
      </c>
      <c r="C1" s="4" t="s">
        <v>2</v>
      </c>
      <c r="D1" s="4" t="s">
        <v>796</v>
      </c>
      <c r="E1" s="4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1" t="s">
        <v>10</v>
      </c>
    </row>
    <row r="2" spans="1:11" ht="33.950000000000003" customHeight="1" x14ac:dyDescent="0.25">
      <c r="A2" s="25">
        <v>1</v>
      </c>
      <c r="B2" s="25" t="s">
        <v>1232</v>
      </c>
      <c r="C2" s="25" t="s">
        <v>242</v>
      </c>
      <c r="D2" s="25" t="s">
        <v>1233</v>
      </c>
      <c r="E2" s="44" t="s">
        <v>1234</v>
      </c>
      <c r="F2" s="6">
        <v>100</v>
      </c>
      <c r="G2" s="7">
        <v>100</v>
      </c>
      <c r="H2" s="7">
        <v>96</v>
      </c>
      <c r="I2" s="26">
        <f t="shared" ref="I2:I33" si="0">ROUND(F2*0.55+G2*0.3+H2*0.15,0)</f>
        <v>99</v>
      </c>
      <c r="J2" s="25" t="s">
        <v>1235</v>
      </c>
      <c r="K2" s="43" t="s">
        <v>16</v>
      </c>
    </row>
    <row r="3" spans="1:11" ht="33.950000000000003" customHeight="1" x14ac:dyDescent="0.25">
      <c r="A3" s="25">
        <v>2</v>
      </c>
      <c r="B3" s="25" t="s">
        <v>1236</v>
      </c>
      <c r="C3" s="25" t="s">
        <v>1066</v>
      </c>
      <c r="D3" s="25" t="s">
        <v>1237</v>
      </c>
      <c r="E3" s="44" t="s">
        <v>1238</v>
      </c>
      <c r="F3" s="6">
        <v>100</v>
      </c>
      <c r="G3" s="7">
        <v>100</v>
      </c>
      <c r="H3" s="7">
        <v>95</v>
      </c>
      <c r="I3" s="26">
        <f t="shared" si="0"/>
        <v>99</v>
      </c>
      <c r="J3" s="25" t="s">
        <v>1235</v>
      </c>
      <c r="K3" s="43" t="s">
        <v>16</v>
      </c>
    </row>
    <row r="4" spans="1:11" ht="33.950000000000003" customHeight="1" x14ac:dyDescent="0.25">
      <c r="A4" s="25">
        <v>3</v>
      </c>
      <c r="B4" s="25" t="s">
        <v>1239</v>
      </c>
      <c r="C4" s="25" t="s">
        <v>84</v>
      </c>
      <c r="D4" s="25" t="s">
        <v>1240</v>
      </c>
      <c r="E4" s="44" t="s">
        <v>1241</v>
      </c>
      <c r="F4" s="6">
        <v>99</v>
      </c>
      <c r="G4" s="7">
        <v>99</v>
      </c>
      <c r="H4" s="7">
        <v>95</v>
      </c>
      <c r="I4" s="26">
        <f t="shared" si="0"/>
        <v>98</v>
      </c>
      <c r="J4" s="25" t="s">
        <v>1235</v>
      </c>
      <c r="K4" s="43" t="s">
        <v>16</v>
      </c>
    </row>
    <row r="5" spans="1:11" ht="33.950000000000003" customHeight="1" x14ac:dyDescent="0.25">
      <c r="A5" s="25">
        <v>4</v>
      </c>
      <c r="B5" s="25" t="s">
        <v>1242</v>
      </c>
      <c r="C5" s="25" t="s">
        <v>84</v>
      </c>
      <c r="D5" s="25" t="s">
        <v>1243</v>
      </c>
      <c r="E5" s="44" t="s">
        <v>1244</v>
      </c>
      <c r="F5" s="6">
        <v>99</v>
      </c>
      <c r="G5" s="7">
        <v>99</v>
      </c>
      <c r="H5" s="7">
        <v>94</v>
      </c>
      <c r="I5" s="26">
        <f t="shared" si="0"/>
        <v>98</v>
      </c>
      <c r="J5" s="25" t="s">
        <v>1235</v>
      </c>
      <c r="K5" s="43" t="s">
        <v>16</v>
      </c>
    </row>
    <row r="6" spans="1:11" ht="33.950000000000003" customHeight="1" x14ac:dyDescent="0.25">
      <c r="A6" s="25">
        <v>5</v>
      </c>
      <c r="B6" s="25" t="s">
        <v>1245</v>
      </c>
      <c r="C6" s="25" t="s">
        <v>96</v>
      </c>
      <c r="D6" s="25" t="s">
        <v>1246</v>
      </c>
      <c r="E6" s="44" t="s">
        <v>1247</v>
      </c>
      <c r="F6" s="6">
        <v>99</v>
      </c>
      <c r="G6" s="7">
        <v>99</v>
      </c>
      <c r="H6" s="7">
        <v>94</v>
      </c>
      <c r="I6" s="26">
        <f t="shared" si="0"/>
        <v>98</v>
      </c>
      <c r="J6" s="25" t="s">
        <v>1235</v>
      </c>
      <c r="K6" s="43" t="s">
        <v>16</v>
      </c>
    </row>
    <row r="7" spans="1:11" ht="33.950000000000003" customHeight="1" x14ac:dyDescent="0.25">
      <c r="A7" s="25">
        <v>6</v>
      </c>
      <c r="B7" s="25" t="s">
        <v>1248</v>
      </c>
      <c r="C7" s="25" t="s">
        <v>1249</v>
      </c>
      <c r="D7" s="25" t="s">
        <v>1250</v>
      </c>
      <c r="E7" s="44" t="s">
        <v>1251</v>
      </c>
      <c r="F7" s="6">
        <v>99</v>
      </c>
      <c r="G7" s="7">
        <v>98</v>
      </c>
      <c r="H7" s="7">
        <v>93</v>
      </c>
      <c r="I7" s="26">
        <f t="shared" si="0"/>
        <v>98</v>
      </c>
      <c r="J7" s="25" t="s">
        <v>1235</v>
      </c>
      <c r="K7" s="43" t="s">
        <v>16</v>
      </c>
    </row>
    <row r="8" spans="1:11" ht="33.950000000000003" customHeight="1" x14ac:dyDescent="0.25">
      <c r="A8" s="25">
        <v>7</v>
      </c>
      <c r="B8" s="25" t="s">
        <v>1252</v>
      </c>
      <c r="C8" s="25" t="s">
        <v>238</v>
      </c>
      <c r="D8" s="25" t="s">
        <v>1250</v>
      </c>
      <c r="E8" s="44" t="s">
        <v>1253</v>
      </c>
      <c r="F8" s="6">
        <v>99</v>
      </c>
      <c r="G8" s="7">
        <v>98</v>
      </c>
      <c r="H8" s="7">
        <v>93</v>
      </c>
      <c r="I8" s="26">
        <f t="shared" si="0"/>
        <v>98</v>
      </c>
      <c r="J8" s="25" t="s">
        <v>1235</v>
      </c>
      <c r="K8" s="43" t="s">
        <v>16</v>
      </c>
    </row>
    <row r="9" spans="1:11" ht="33.950000000000003" customHeight="1" x14ac:dyDescent="0.25">
      <c r="A9" s="25">
        <v>8</v>
      </c>
      <c r="B9" s="25" t="s">
        <v>813</v>
      </c>
      <c r="C9" s="25" t="s">
        <v>80</v>
      </c>
      <c r="D9" s="25" t="s">
        <v>1250</v>
      </c>
      <c r="E9" s="44" t="s">
        <v>1254</v>
      </c>
      <c r="F9" s="6">
        <v>99</v>
      </c>
      <c r="G9" s="7">
        <v>98</v>
      </c>
      <c r="H9" s="7">
        <v>93</v>
      </c>
      <c r="I9" s="26">
        <f t="shared" si="0"/>
        <v>98</v>
      </c>
      <c r="J9" s="25" t="s">
        <v>1235</v>
      </c>
      <c r="K9" s="43" t="s">
        <v>16</v>
      </c>
    </row>
    <row r="10" spans="1:11" ht="33.950000000000003" customHeight="1" x14ac:dyDescent="0.25">
      <c r="A10" s="25">
        <v>9</v>
      </c>
      <c r="B10" s="25" t="s">
        <v>837</v>
      </c>
      <c r="C10" s="25" t="s">
        <v>18</v>
      </c>
      <c r="D10" s="25" t="s">
        <v>1255</v>
      </c>
      <c r="E10" s="44" t="s">
        <v>1256</v>
      </c>
      <c r="F10" s="6">
        <v>98</v>
      </c>
      <c r="G10" s="7">
        <v>97</v>
      </c>
      <c r="H10" s="7">
        <v>92</v>
      </c>
      <c r="I10" s="26">
        <f t="shared" si="0"/>
        <v>97</v>
      </c>
      <c r="J10" s="25" t="s">
        <v>1235</v>
      </c>
      <c r="K10" s="43" t="s">
        <v>16</v>
      </c>
    </row>
    <row r="11" spans="1:11" ht="33.950000000000003" customHeight="1" x14ac:dyDescent="0.25">
      <c r="A11" s="25">
        <v>10</v>
      </c>
      <c r="B11" s="25" t="s">
        <v>1257</v>
      </c>
      <c r="C11" s="25" t="s">
        <v>18</v>
      </c>
      <c r="D11" s="25" t="s">
        <v>1237</v>
      </c>
      <c r="E11" s="44" t="s">
        <v>1258</v>
      </c>
      <c r="F11" s="6">
        <v>98</v>
      </c>
      <c r="G11" s="7">
        <v>97</v>
      </c>
      <c r="H11" s="7">
        <v>92</v>
      </c>
      <c r="I11" s="26">
        <f t="shared" si="0"/>
        <v>97</v>
      </c>
      <c r="J11" s="25" t="s">
        <v>1235</v>
      </c>
      <c r="K11" s="43" t="s">
        <v>16</v>
      </c>
    </row>
    <row r="12" spans="1:11" ht="33.950000000000003" customHeight="1" x14ac:dyDescent="0.25">
      <c r="A12" s="27">
        <v>11</v>
      </c>
      <c r="B12" s="27" t="s">
        <v>1259</v>
      </c>
      <c r="C12" s="27" t="s">
        <v>62</v>
      </c>
      <c r="D12" s="27" t="s">
        <v>1237</v>
      </c>
      <c r="E12" s="44" t="s">
        <v>1260</v>
      </c>
      <c r="F12" s="10">
        <v>97</v>
      </c>
      <c r="G12" s="11">
        <v>96</v>
      </c>
      <c r="H12" s="11">
        <v>91</v>
      </c>
      <c r="I12" s="28">
        <f t="shared" si="0"/>
        <v>96</v>
      </c>
      <c r="J12" s="27" t="s">
        <v>1235</v>
      </c>
      <c r="K12" s="43" t="s">
        <v>16</v>
      </c>
    </row>
    <row r="13" spans="1:11" ht="33.950000000000003" customHeight="1" x14ac:dyDescent="0.25">
      <c r="A13" s="27">
        <v>12</v>
      </c>
      <c r="B13" s="27" t="s">
        <v>1261</v>
      </c>
      <c r="C13" s="27" t="s">
        <v>1249</v>
      </c>
      <c r="D13" s="27" t="s">
        <v>1262</v>
      </c>
      <c r="E13" s="45" t="s">
        <v>1263</v>
      </c>
      <c r="F13" s="10">
        <v>97</v>
      </c>
      <c r="G13" s="11">
        <v>96</v>
      </c>
      <c r="H13" s="11">
        <v>91</v>
      </c>
      <c r="I13" s="28">
        <f t="shared" si="0"/>
        <v>96</v>
      </c>
      <c r="J13" s="27" t="s">
        <v>1235</v>
      </c>
      <c r="K13" s="46" t="s">
        <v>850</v>
      </c>
    </row>
    <row r="14" spans="1:11" ht="33.950000000000003" customHeight="1" x14ac:dyDescent="0.25">
      <c r="A14" s="27">
        <v>13</v>
      </c>
      <c r="B14" s="27" t="s">
        <v>1264</v>
      </c>
      <c r="C14" s="27" t="s">
        <v>18</v>
      </c>
      <c r="D14" s="27" t="s">
        <v>1265</v>
      </c>
      <c r="E14" s="45" t="s">
        <v>1266</v>
      </c>
      <c r="F14" s="10">
        <v>97</v>
      </c>
      <c r="G14" s="11">
        <v>96</v>
      </c>
      <c r="H14" s="11">
        <v>91</v>
      </c>
      <c r="I14" s="28">
        <f t="shared" si="0"/>
        <v>96</v>
      </c>
      <c r="J14" s="27" t="s">
        <v>1235</v>
      </c>
      <c r="K14" s="46" t="s">
        <v>850</v>
      </c>
    </row>
    <row r="15" spans="1:11" ht="33.950000000000003" customHeight="1" x14ac:dyDescent="0.25">
      <c r="A15" s="27">
        <v>14</v>
      </c>
      <c r="B15" s="27" t="s">
        <v>1267</v>
      </c>
      <c r="C15" s="27" t="s">
        <v>18</v>
      </c>
      <c r="D15" s="27" t="s">
        <v>1268</v>
      </c>
      <c r="E15" s="45" t="s">
        <v>1269</v>
      </c>
      <c r="F15" s="10">
        <v>97</v>
      </c>
      <c r="G15" s="11">
        <v>96</v>
      </c>
      <c r="H15" s="11">
        <v>91</v>
      </c>
      <c r="I15" s="28">
        <f t="shared" si="0"/>
        <v>96</v>
      </c>
      <c r="J15" s="27" t="s">
        <v>1235</v>
      </c>
      <c r="K15" s="46" t="s">
        <v>850</v>
      </c>
    </row>
    <row r="16" spans="1:11" ht="33.950000000000003" customHeight="1" x14ac:dyDescent="0.25">
      <c r="A16" s="27">
        <v>15</v>
      </c>
      <c r="B16" s="27" t="s">
        <v>1270</v>
      </c>
      <c r="C16" s="27" t="s">
        <v>238</v>
      </c>
      <c r="D16" s="27" t="s">
        <v>1271</v>
      </c>
      <c r="E16" s="45" t="s">
        <v>1272</v>
      </c>
      <c r="F16" s="10">
        <v>97</v>
      </c>
      <c r="G16" s="11">
        <v>96</v>
      </c>
      <c r="H16" s="11">
        <v>91</v>
      </c>
      <c r="I16" s="28">
        <f t="shared" si="0"/>
        <v>96</v>
      </c>
      <c r="J16" s="27" t="s">
        <v>1235</v>
      </c>
      <c r="K16" s="46" t="s">
        <v>850</v>
      </c>
    </row>
    <row r="17" spans="1:11" ht="33.950000000000003" customHeight="1" x14ac:dyDescent="0.25">
      <c r="A17" s="27">
        <v>16</v>
      </c>
      <c r="B17" s="27" t="s">
        <v>1273</v>
      </c>
      <c r="C17" s="27" t="s">
        <v>304</v>
      </c>
      <c r="D17" s="27" t="s">
        <v>1274</v>
      </c>
      <c r="E17" s="44" t="s">
        <v>1275</v>
      </c>
      <c r="F17" s="10">
        <v>96</v>
      </c>
      <c r="G17" s="11">
        <v>95</v>
      </c>
      <c r="H17" s="11">
        <v>90</v>
      </c>
      <c r="I17" s="28">
        <f t="shared" si="0"/>
        <v>95</v>
      </c>
      <c r="J17" s="27" t="s">
        <v>1235</v>
      </c>
      <c r="K17" s="43" t="s">
        <v>16</v>
      </c>
    </row>
    <row r="18" spans="1:11" ht="33.950000000000003" customHeight="1" x14ac:dyDescent="0.25">
      <c r="A18" s="27">
        <v>17</v>
      </c>
      <c r="B18" s="27" t="s">
        <v>1276</v>
      </c>
      <c r="C18" s="27" t="s">
        <v>18</v>
      </c>
      <c r="D18" s="27" t="s">
        <v>1277</v>
      </c>
      <c r="E18" s="44" t="s">
        <v>1278</v>
      </c>
      <c r="F18" s="10">
        <v>96</v>
      </c>
      <c r="G18" s="11">
        <v>95</v>
      </c>
      <c r="H18" s="11">
        <v>90</v>
      </c>
      <c r="I18" s="28">
        <f t="shared" si="0"/>
        <v>95</v>
      </c>
      <c r="J18" s="27" t="s">
        <v>1235</v>
      </c>
      <c r="K18" s="43" t="s">
        <v>16</v>
      </c>
    </row>
    <row r="19" spans="1:11" ht="33.950000000000003" customHeight="1" x14ac:dyDescent="0.25">
      <c r="A19" s="27">
        <v>18</v>
      </c>
      <c r="B19" s="27" t="s">
        <v>1279</v>
      </c>
      <c r="C19" s="27" t="s">
        <v>238</v>
      </c>
      <c r="D19" s="27" t="s">
        <v>1237</v>
      </c>
      <c r="E19" s="44" t="s">
        <v>1280</v>
      </c>
      <c r="F19" s="10">
        <v>96</v>
      </c>
      <c r="G19" s="11">
        <v>95</v>
      </c>
      <c r="H19" s="11">
        <v>90</v>
      </c>
      <c r="I19" s="28">
        <f t="shared" si="0"/>
        <v>95</v>
      </c>
      <c r="J19" s="27" t="s">
        <v>1235</v>
      </c>
      <c r="K19" s="43" t="s">
        <v>16</v>
      </c>
    </row>
    <row r="20" spans="1:11" ht="33.950000000000003" customHeight="1" x14ac:dyDescent="0.25">
      <c r="A20" s="27">
        <v>19</v>
      </c>
      <c r="B20" s="27" t="s">
        <v>1281</v>
      </c>
      <c r="C20" s="27" t="s">
        <v>733</v>
      </c>
      <c r="D20" s="27" t="s">
        <v>1282</v>
      </c>
      <c r="E20" s="45" t="s">
        <v>1283</v>
      </c>
      <c r="F20" s="10">
        <v>96</v>
      </c>
      <c r="G20" s="11">
        <v>95</v>
      </c>
      <c r="H20" s="11">
        <v>90</v>
      </c>
      <c r="I20" s="28">
        <f t="shared" si="0"/>
        <v>95</v>
      </c>
      <c r="J20" s="27" t="s">
        <v>1235</v>
      </c>
      <c r="K20" s="46" t="s">
        <v>850</v>
      </c>
    </row>
    <row r="21" spans="1:11" ht="33.950000000000003" customHeight="1" x14ac:dyDescent="0.25">
      <c r="A21" s="27">
        <v>20</v>
      </c>
      <c r="B21" s="27" t="s">
        <v>1284</v>
      </c>
      <c r="C21" s="27" t="s">
        <v>37</v>
      </c>
      <c r="D21" s="27" t="s">
        <v>1285</v>
      </c>
      <c r="E21" s="45" t="s">
        <v>1286</v>
      </c>
      <c r="F21" s="10">
        <v>96</v>
      </c>
      <c r="G21" s="11">
        <v>95</v>
      </c>
      <c r="H21" s="11">
        <v>90</v>
      </c>
      <c r="I21" s="28">
        <f t="shared" si="0"/>
        <v>95</v>
      </c>
      <c r="J21" s="27" t="s">
        <v>1235</v>
      </c>
      <c r="K21" s="46" t="s">
        <v>850</v>
      </c>
    </row>
    <row r="22" spans="1:11" ht="33.950000000000003" customHeight="1" x14ac:dyDescent="0.25">
      <c r="A22" s="27">
        <v>21</v>
      </c>
      <c r="B22" s="27" t="s">
        <v>1287</v>
      </c>
      <c r="C22" s="27" t="s">
        <v>1288</v>
      </c>
      <c r="D22" s="27" t="s">
        <v>1285</v>
      </c>
      <c r="E22" s="44" t="s">
        <v>1289</v>
      </c>
      <c r="F22" s="10">
        <v>95</v>
      </c>
      <c r="G22" s="11">
        <v>94</v>
      </c>
      <c r="H22" s="11">
        <v>91</v>
      </c>
      <c r="I22" s="28">
        <f t="shared" si="0"/>
        <v>94</v>
      </c>
      <c r="J22" s="27" t="s">
        <v>1235</v>
      </c>
      <c r="K22" s="43" t="s">
        <v>16</v>
      </c>
    </row>
    <row r="23" spans="1:11" ht="33.950000000000003" customHeight="1" x14ac:dyDescent="0.25">
      <c r="A23" s="27">
        <v>22</v>
      </c>
      <c r="B23" s="27" t="s">
        <v>1290</v>
      </c>
      <c r="C23" s="27" t="s">
        <v>62</v>
      </c>
      <c r="D23" s="27" t="s">
        <v>1291</v>
      </c>
      <c r="E23" s="44" t="s">
        <v>1292</v>
      </c>
      <c r="F23" s="10">
        <v>95</v>
      </c>
      <c r="G23" s="11">
        <v>94</v>
      </c>
      <c r="H23" s="11">
        <v>91</v>
      </c>
      <c r="I23" s="28">
        <f t="shared" si="0"/>
        <v>94</v>
      </c>
      <c r="J23" s="27" t="s">
        <v>1235</v>
      </c>
      <c r="K23" s="43" t="s">
        <v>16</v>
      </c>
    </row>
    <row r="24" spans="1:11" ht="33.950000000000003" customHeight="1" x14ac:dyDescent="0.25">
      <c r="A24" s="27">
        <v>23</v>
      </c>
      <c r="B24" s="27" t="s">
        <v>1222</v>
      </c>
      <c r="C24" s="27" t="s">
        <v>62</v>
      </c>
      <c r="D24" s="27" t="s">
        <v>1293</v>
      </c>
      <c r="E24" s="44" t="s">
        <v>1294</v>
      </c>
      <c r="F24" s="10">
        <v>95</v>
      </c>
      <c r="G24" s="11">
        <v>94</v>
      </c>
      <c r="H24" s="11">
        <v>91</v>
      </c>
      <c r="I24" s="28">
        <f t="shared" si="0"/>
        <v>94</v>
      </c>
      <c r="J24" s="27" t="s">
        <v>1235</v>
      </c>
      <c r="K24" s="43" t="s">
        <v>16</v>
      </c>
    </row>
    <row r="25" spans="1:11" ht="33.950000000000003" customHeight="1" x14ac:dyDescent="0.25">
      <c r="A25" s="27">
        <v>24</v>
      </c>
      <c r="B25" s="27" t="s">
        <v>1295</v>
      </c>
      <c r="C25" s="27" t="s">
        <v>18</v>
      </c>
      <c r="D25" s="27" t="s">
        <v>1296</v>
      </c>
      <c r="E25" s="45" t="s">
        <v>1297</v>
      </c>
      <c r="F25" s="10">
        <v>95</v>
      </c>
      <c r="G25" s="11">
        <v>94</v>
      </c>
      <c r="H25" s="11">
        <v>91</v>
      </c>
      <c r="I25" s="28">
        <f t="shared" si="0"/>
        <v>94</v>
      </c>
      <c r="J25" s="27" t="s">
        <v>1235</v>
      </c>
      <c r="K25" s="46" t="s">
        <v>850</v>
      </c>
    </row>
    <row r="26" spans="1:11" ht="33.950000000000003" customHeight="1" x14ac:dyDescent="0.25">
      <c r="A26" s="27">
        <v>25</v>
      </c>
      <c r="B26" s="27" t="s">
        <v>1298</v>
      </c>
      <c r="C26" s="27" t="s">
        <v>18</v>
      </c>
      <c r="D26" s="27" t="s">
        <v>1299</v>
      </c>
      <c r="E26" s="45" t="s">
        <v>1300</v>
      </c>
      <c r="F26" s="10">
        <v>95</v>
      </c>
      <c r="G26" s="11">
        <v>94</v>
      </c>
      <c r="H26" s="11">
        <v>91</v>
      </c>
      <c r="I26" s="28">
        <f t="shared" si="0"/>
        <v>94</v>
      </c>
      <c r="J26" s="27" t="s">
        <v>1235</v>
      </c>
      <c r="K26" s="46" t="s">
        <v>850</v>
      </c>
    </row>
    <row r="27" spans="1:11" ht="33.950000000000003" customHeight="1" x14ac:dyDescent="0.25">
      <c r="A27" s="29">
        <v>26</v>
      </c>
      <c r="B27" s="29" t="s">
        <v>1301</v>
      </c>
      <c r="C27" s="29" t="s">
        <v>885</v>
      </c>
      <c r="D27" s="29" t="s">
        <v>1302</v>
      </c>
      <c r="E27" s="45" t="s">
        <v>1303</v>
      </c>
      <c r="F27" s="14">
        <v>93</v>
      </c>
      <c r="G27" s="15">
        <v>93</v>
      </c>
      <c r="H27" s="15">
        <v>90</v>
      </c>
      <c r="I27" s="30">
        <f t="shared" si="0"/>
        <v>93</v>
      </c>
      <c r="J27" s="29" t="s">
        <v>1235</v>
      </c>
      <c r="K27" s="46" t="s">
        <v>850</v>
      </c>
    </row>
    <row r="28" spans="1:11" ht="33.950000000000003" customHeight="1" x14ac:dyDescent="0.25">
      <c r="A28" s="29">
        <v>27</v>
      </c>
      <c r="B28" s="29" t="s">
        <v>1304</v>
      </c>
      <c r="C28" s="29" t="s">
        <v>18</v>
      </c>
      <c r="D28" s="29" t="s">
        <v>1305</v>
      </c>
      <c r="E28" s="44" t="s">
        <v>1306</v>
      </c>
      <c r="F28" s="14">
        <v>93</v>
      </c>
      <c r="G28" s="15">
        <v>93</v>
      </c>
      <c r="H28" s="15">
        <v>90</v>
      </c>
      <c r="I28" s="30">
        <f t="shared" si="0"/>
        <v>93</v>
      </c>
      <c r="J28" s="29" t="s">
        <v>1235</v>
      </c>
      <c r="K28" s="43" t="s">
        <v>16</v>
      </c>
    </row>
    <row r="29" spans="1:11" ht="33.950000000000003" customHeight="1" x14ac:dyDescent="0.25">
      <c r="A29" s="29">
        <v>28</v>
      </c>
      <c r="B29" s="29" t="s">
        <v>1307</v>
      </c>
      <c r="C29" s="29" t="s">
        <v>18</v>
      </c>
      <c r="D29" s="29" t="s">
        <v>1308</v>
      </c>
      <c r="E29" s="44" t="s">
        <v>1309</v>
      </c>
      <c r="F29" s="14">
        <v>93</v>
      </c>
      <c r="G29" s="15">
        <v>93</v>
      </c>
      <c r="H29" s="15">
        <v>90</v>
      </c>
      <c r="I29" s="30">
        <f t="shared" si="0"/>
        <v>93</v>
      </c>
      <c r="J29" s="29" t="s">
        <v>1235</v>
      </c>
      <c r="K29" s="43" t="s">
        <v>16</v>
      </c>
    </row>
    <row r="30" spans="1:11" ht="33.950000000000003" customHeight="1" x14ac:dyDescent="0.25">
      <c r="A30" s="29">
        <v>29</v>
      </c>
      <c r="B30" s="29" t="s">
        <v>1310</v>
      </c>
      <c r="C30" s="29" t="s">
        <v>18</v>
      </c>
      <c r="D30" s="29" t="s">
        <v>1237</v>
      </c>
      <c r="E30" s="44" t="s">
        <v>1311</v>
      </c>
      <c r="F30" s="14">
        <v>93</v>
      </c>
      <c r="G30" s="15">
        <v>93</v>
      </c>
      <c r="H30" s="15">
        <v>90</v>
      </c>
      <c r="I30" s="30">
        <f t="shared" si="0"/>
        <v>93</v>
      </c>
      <c r="J30" s="29" t="s">
        <v>1235</v>
      </c>
      <c r="K30" s="43" t="s">
        <v>16</v>
      </c>
    </row>
    <row r="31" spans="1:11" ht="33.950000000000003" customHeight="1" x14ac:dyDescent="0.25">
      <c r="A31" s="29">
        <v>30</v>
      </c>
      <c r="B31" s="29" t="s">
        <v>1117</v>
      </c>
      <c r="C31" s="29" t="s">
        <v>37</v>
      </c>
      <c r="D31" s="29" t="s">
        <v>1312</v>
      </c>
      <c r="E31" s="45" t="s">
        <v>1313</v>
      </c>
      <c r="F31" s="14">
        <v>93</v>
      </c>
      <c r="G31" s="15">
        <v>93</v>
      </c>
      <c r="H31" s="15">
        <v>90</v>
      </c>
      <c r="I31" s="30">
        <f t="shared" si="0"/>
        <v>93</v>
      </c>
      <c r="J31" s="29" t="s">
        <v>1235</v>
      </c>
      <c r="K31" s="46" t="s">
        <v>850</v>
      </c>
    </row>
    <row r="32" spans="1:11" ht="33.950000000000003" customHeight="1" x14ac:dyDescent="0.25">
      <c r="A32" s="29">
        <v>31</v>
      </c>
      <c r="B32" s="29" t="s">
        <v>1221</v>
      </c>
      <c r="C32" s="29" t="s">
        <v>225</v>
      </c>
      <c r="D32" s="29" t="s">
        <v>1314</v>
      </c>
      <c r="E32" s="44" t="s">
        <v>1315</v>
      </c>
      <c r="F32" s="14">
        <v>93</v>
      </c>
      <c r="G32" s="15">
        <v>93</v>
      </c>
      <c r="H32" s="15">
        <v>90</v>
      </c>
      <c r="I32" s="30">
        <f t="shared" si="0"/>
        <v>93</v>
      </c>
      <c r="J32" s="29" t="s">
        <v>1235</v>
      </c>
      <c r="K32" s="43" t="s">
        <v>16</v>
      </c>
    </row>
    <row r="33" spans="1:11" ht="33.950000000000003" customHeight="1" x14ac:dyDescent="0.25">
      <c r="A33" s="29">
        <v>32</v>
      </c>
      <c r="B33" s="29" t="s">
        <v>1316</v>
      </c>
      <c r="C33" s="29" t="s">
        <v>1023</v>
      </c>
      <c r="D33" s="29" t="s">
        <v>1317</v>
      </c>
      <c r="E33" s="44" t="s">
        <v>1318</v>
      </c>
      <c r="F33" s="14">
        <v>93</v>
      </c>
      <c r="G33" s="15">
        <v>93</v>
      </c>
      <c r="H33" s="15">
        <v>90</v>
      </c>
      <c r="I33" s="30">
        <f t="shared" si="0"/>
        <v>93</v>
      </c>
      <c r="J33" s="29" t="s">
        <v>1235</v>
      </c>
      <c r="K33" s="43" t="s">
        <v>16</v>
      </c>
    </row>
    <row r="34" spans="1:11" ht="33.950000000000003" customHeight="1" x14ac:dyDescent="0.25">
      <c r="A34" s="29">
        <v>33</v>
      </c>
      <c r="B34" s="29" t="s">
        <v>365</v>
      </c>
      <c r="C34" s="29" t="s">
        <v>84</v>
      </c>
      <c r="D34" s="29" t="s">
        <v>1319</v>
      </c>
      <c r="E34" s="44" t="s">
        <v>1320</v>
      </c>
      <c r="F34" s="14">
        <v>93</v>
      </c>
      <c r="G34" s="15">
        <v>93</v>
      </c>
      <c r="H34" s="15">
        <v>90</v>
      </c>
      <c r="I34" s="30">
        <f t="shared" ref="I34:I65" si="1">ROUND(F34*0.55+G34*0.3+H34*0.15,0)</f>
        <v>93</v>
      </c>
      <c r="J34" s="29" t="s">
        <v>1235</v>
      </c>
      <c r="K34" s="43" t="s">
        <v>16</v>
      </c>
    </row>
    <row r="35" spans="1:11" ht="33.950000000000003" customHeight="1" x14ac:dyDescent="0.25">
      <c r="A35" s="29">
        <v>34</v>
      </c>
      <c r="B35" s="29" t="s">
        <v>1321</v>
      </c>
      <c r="C35" s="29" t="s">
        <v>96</v>
      </c>
      <c r="D35" s="29" t="s">
        <v>1322</v>
      </c>
      <c r="E35" s="44" t="s">
        <v>1323</v>
      </c>
      <c r="F35" s="14">
        <v>92</v>
      </c>
      <c r="G35" s="15">
        <v>92</v>
      </c>
      <c r="H35" s="15">
        <v>89</v>
      </c>
      <c r="I35" s="30">
        <f t="shared" si="1"/>
        <v>92</v>
      </c>
      <c r="J35" s="29" t="s">
        <v>1235</v>
      </c>
      <c r="K35" s="43" t="s">
        <v>16</v>
      </c>
    </row>
    <row r="36" spans="1:11" ht="33.950000000000003" customHeight="1" x14ac:dyDescent="0.25">
      <c r="A36" s="29">
        <v>35</v>
      </c>
      <c r="B36" s="29" t="s">
        <v>1324</v>
      </c>
      <c r="C36" s="29" t="s">
        <v>1325</v>
      </c>
      <c r="D36" s="29" t="s">
        <v>1326</v>
      </c>
      <c r="E36" s="45" t="s">
        <v>1327</v>
      </c>
      <c r="F36" s="14">
        <v>92</v>
      </c>
      <c r="G36" s="15">
        <v>92</v>
      </c>
      <c r="H36" s="15">
        <v>89</v>
      </c>
      <c r="I36" s="30">
        <f t="shared" si="1"/>
        <v>92</v>
      </c>
      <c r="J36" s="29" t="s">
        <v>1235</v>
      </c>
      <c r="K36" s="46" t="s">
        <v>850</v>
      </c>
    </row>
    <row r="37" spans="1:11" ht="33.950000000000003" customHeight="1" x14ac:dyDescent="0.25">
      <c r="A37" s="29">
        <v>36</v>
      </c>
      <c r="B37" s="29" t="s">
        <v>1328</v>
      </c>
      <c r="C37" s="29" t="s">
        <v>733</v>
      </c>
      <c r="D37" s="29" t="s">
        <v>1285</v>
      </c>
      <c r="E37" s="45" t="s">
        <v>1286</v>
      </c>
      <c r="F37" s="14">
        <v>92</v>
      </c>
      <c r="G37" s="15">
        <v>92</v>
      </c>
      <c r="H37" s="15">
        <v>89</v>
      </c>
      <c r="I37" s="30">
        <f t="shared" si="1"/>
        <v>92</v>
      </c>
      <c r="J37" s="29" t="s">
        <v>1235</v>
      </c>
      <c r="K37" s="46" t="s">
        <v>850</v>
      </c>
    </row>
    <row r="38" spans="1:11" ht="33.950000000000003" customHeight="1" x14ac:dyDescent="0.25">
      <c r="A38" s="29">
        <v>37</v>
      </c>
      <c r="B38" s="29" t="s">
        <v>1329</v>
      </c>
      <c r="C38" s="29" t="s">
        <v>18</v>
      </c>
      <c r="D38" s="29" t="s">
        <v>1250</v>
      </c>
      <c r="E38" s="45" t="s">
        <v>1330</v>
      </c>
      <c r="F38" s="14">
        <v>92</v>
      </c>
      <c r="G38" s="15">
        <v>92</v>
      </c>
      <c r="H38" s="15">
        <v>89</v>
      </c>
      <c r="I38" s="30">
        <f t="shared" si="1"/>
        <v>92</v>
      </c>
      <c r="J38" s="29" t="s">
        <v>1235</v>
      </c>
      <c r="K38" s="46" t="s">
        <v>850</v>
      </c>
    </row>
    <row r="39" spans="1:11" ht="33.950000000000003" customHeight="1" x14ac:dyDescent="0.25">
      <c r="A39" s="29">
        <v>38</v>
      </c>
      <c r="B39" s="29" t="s">
        <v>1331</v>
      </c>
      <c r="C39" s="29" t="s">
        <v>18</v>
      </c>
      <c r="D39" s="29" t="s">
        <v>1332</v>
      </c>
      <c r="E39" s="45" t="s">
        <v>1333</v>
      </c>
      <c r="F39" s="14">
        <v>92</v>
      </c>
      <c r="G39" s="15">
        <v>92</v>
      </c>
      <c r="H39" s="15">
        <v>89</v>
      </c>
      <c r="I39" s="30">
        <f t="shared" si="1"/>
        <v>92</v>
      </c>
      <c r="J39" s="29" t="s">
        <v>1235</v>
      </c>
      <c r="K39" s="46" t="s">
        <v>850</v>
      </c>
    </row>
    <row r="40" spans="1:11" ht="33.950000000000003" customHeight="1" x14ac:dyDescent="0.25">
      <c r="A40" s="29">
        <v>39</v>
      </c>
      <c r="B40" s="29" t="s">
        <v>1334</v>
      </c>
      <c r="C40" s="29" t="s">
        <v>113</v>
      </c>
      <c r="D40" s="29" t="s">
        <v>1285</v>
      </c>
      <c r="E40" s="45" t="s">
        <v>1286</v>
      </c>
      <c r="F40" s="14">
        <v>92</v>
      </c>
      <c r="G40" s="15">
        <v>92</v>
      </c>
      <c r="H40" s="15">
        <v>89</v>
      </c>
      <c r="I40" s="30">
        <f t="shared" si="1"/>
        <v>92</v>
      </c>
      <c r="J40" s="29" t="s">
        <v>1235</v>
      </c>
      <c r="K40" s="46" t="s">
        <v>850</v>
      </c>
    </row>
    <row r="41" spans="1:11" ht="33.950000000000003" customHeight="1" x14ac:dyDescent="0.25">
      <c r="A41" s="29">
        <v>40</v>
      </c>
      <c r="B41" s="29" t="s">
        <v>1335</v>
      </c>
      <c r="C41" s="29" t="s">
        <v>1227</v>
      </c>
      <c r="D41" s="29" t="s">
        <v>1285</v>
      </c>
      <c r="E41" s="45" t="s">
        <v>1286</v>
      </c>
      <c r="F41" s="14">
        <v>92</v>
      </c>
      <c r="G41" s="15">
        <v>92</v>
      </c>
      <c r="H41" s="15">
        <v>89</v>
      </c>
      <c r="I41" s="30">
        <f t="shared" si="1"/>
        <v>92</v>
      </c>
      <c r="J41" s="29" t="s">
        <v>1235</v>
      </c>
      <c r="K41" s="46" t="s">
        <v>850</v>
      </c>
    </row>
    <row r="42" spans="1:11" ht="33.950000000000003" customHeight="1" x14ac:dyDescent="0.25">
      <c r="A42" s="29">
        <v>41</v>
      </c>
      <c r="B42" s="29" t="s">
        <v>1336</v>
      </c>
      <c r="C42" s="29" t="s">
        <v>1227</v>
      </c>
      <c r="D42" s="29" t="s">
        <v>1337</v>
      </c>
      <c r="E42" s="45" t="s">
        <v>1338</v>
      </c>
      <c r="F42" s="14">
        <v>92</v>
      </c>
      <c r="G42" s="15">
        <v>92</v>
      </c>
      <c r="H42" s="15">
        <v>89</v>
      </c>
      <c r="I42" s="30">
        <f t="shared" si="1"/>
        <v>92</v>
      </c>
      <c r="J42" s="29" t="s">
        <v>1235</v>
      </c>
      <c r="K42" s="46" t="s">
        <v>850</v>
      </c>
    </row>
    <row r="43" spans="1:11" ht="33.950000000000003" customHeight="1" x14ac:dyDescent="0.25">
      <c r="A43" s="29">
        <v>42</v>
      </c>
      <c r="B43" s="29" t="s">
        <v>1339</v>
      </c>
      <c r="C43" s="29" t="s">
        <v>1227</v>
      </c>
      <c r="D43" s="29" t="s">
        <v>1340</v>
      </c>
      <c r="E43" s="45" t="s">
        <v>1341</v>
      </c>
      <c r="F43" s="14">
        <v>91</v>
      </c>
      <c r="G43" s="15">
        <v>91</v>
      </c>
      <c r="H43" s="15">
        <v>88</v>
      </c>
      <c r="I43" s="30">
        <f t="shared" si="1"/>
        <v>91</v>
      </c>
      <c r="J43" s="29" t="s">
        <v>1235</v>
      </c>
      <c r="K43" s="46" t="s">
        <v>850</v>
      </c>
    </row>
    <row r="44" spans="1:11" ht="33.950000000000003" customHeight="1" x14ac:dyDescent="0.25">
      <c r="A44" s="29">
        <v>43</v>
      </c>
      <c r="B44" s="29" t="s">
        <v>1342</v>
      </c>
      <c r="C44" s="29" t="s">
        <v>113</v>
      </c>
      <c r="D44" s="29" t="s">
        <v>1343</v>
      </c>
      <c r="E44" s="45" t="s">
        <v>1344</v>
      </c>
      <c r="F44" s="14">
        <v>91</v>
      </c>
      <c r="G44" s="15">
        <v>91</v>
      </c>
      <c r="H44" s="15">
        <v>88</v>
      </c>
      <c r="I44" s="30">
        <f t="shared" si="1"/>
        <v>91</v>
      </c>
      <c r="J44" s="29" t="s">
        <v>1235</v>
      </c>
      <c r="K44" s="46" t="s">
        <v>850</v>
      </c>
    </row>
    <row r="45" spans="1:11" ht="33.950000000000003" customHeight="1" x14ac:dyDescent="0.25">
      <c r="A45" s="29">
        <v>44</v>
      </c>
      <c r="B45" s="29" t="s">
        <v>1345</v>
      </c>
      <c r="C45" s="29" t="s">
        <v>37</v>
      </c>
      <c r="D45" s="29" t="s">
        <v>1346</v>
      </c>
      <c r="E45" s="45" t="s">
        <v>1347</v>
      </c>
      <c r="F45" s="14">
        <v>91</v>
      </c>
      <c r="G45" s="15">
        <v>91</v>
      </c>
      <c r="H45" s="15">
        <v>88</v>
      </c>
      <c r="I45" s="30">
        <f t="shared" si="1"/>
        <v>91</v>
      </c>
      <c r="J45" s="29" t="s">
        <v>1235</v>
      </c>
      <c r="K45" s="46" t="s">
        <v>850</v>
      </c>
    </row>
    <row r="46" spans="1:11" ht="33.950000000000003" customHeight="1" x14ac:dyDescent="0.25">
      <c r="A46" s="29">
        <v>45</v>
      </c>
      <c r="B46" s="29" t="s">
        <v>1348</v>
      </c>
      <c r="C46" s="29" t="s">
        <v>1349</v>
      </c>
      <c r="D46" s="29" t="s">
        <v>1350</v>
      </c>
      <c r="E46" s="45" t="s">
        <v>1351</v>
      </c>
      <c r="F46" s="14">
        <v>91</v>
      </c>
      <c r="G46" s="15">
        <v>91</v>
      </c>
      <c r="H46" s="15">
        <v>88</v>
      </c>
      <c r="I46" s="30">
        <f t="shared" si="1"/>
        <v>91</v>
      </c>
      <c r="J46" s="29" t="s">
        <v>1235</v>
      </c>
      <c r="K46" s="46" t="s">
        <v>850</v>
      </c>
    </row>
    <row r="47" spans="1:11" ht="33.950000000000003" customHeight="1" x14ac:dyDescent="0.25">
      <c r="A47" s="29">
        <v>46</v>
      </c>
      <c r="B47" s="29" t="s">
        <v>1352</v>
      </c>
      <c r="C47" s="29" t="s">
        <v>122</v>
      </c>
      <c r="D47" s="29" t="s">
        <v>1353</v>
      </c>
      <c r="E47" s="45" t="s">
        <v>1354</v>
      </c>
      <c r="F47" s="14">
        <v>91</v>
      </c>
      <c r="G47" s="15">
        <v>91</v>
      </c>
      <c r="H47" s="15">
        <v>88</v>
      </c>
      <c r="I47" s="30">
        <f t="shared" si="1"/>
        <v>91</v>
      </c>
      <c r="J47" s="29" t="s">
        <v>1235</v>
      </c>
      <c r="K47" s="46" t="s">
        <v>850</v>
      </c>
    </row>
    <row r="48" spans="1:11" ht="33.950000000000003" customHeight="1" x14ac:dyDescent="0.25">
      <c r="A48" s="29">
        <v>47</v>
      </c>
      <c r="B48" s="29" t="s">
        <v>1355</v>
      </c>
      <c r="C48" s="29" t="s">
        <v>18</v>
      </c>
      <c r="D48" s="29" t="s">
        <v>1356</v>
      </c>
      <c r="E48" s="44" t="s">
        <v>1357</v>
      </c>
      <c r="F48" s="14">
        <v>91</v>
      </c>
      <c r="G48" s="15">
        <v>91</v>
      </c>
      <c r="H48" s="15">
        <v>88</v>
      </c>
      <c r="I48" s="30">
        <f t="shared" si="1"/>
        <v>91</v>
      </c>
      <c r="J48" s="29" t="s">
        <v>1235</v>
      </c>
      <c r="K48" s="43" t="s">
        <v>16</v>
      </c>
    </row>
    <row r="49" spans="1:11" ht="33.950000000000003" customHeight="1" x14ac:dyDescent="0.25">
      <c r="A49" s="29">
        <v>48</v>
      </c>
      <c r="B49" s="29" t="s">
        <v>1358</v>
      </c>
      <c r="C49" s="29" t="s">
        <v>18</v>
      </c>
      <c r="D49" s="29" t="s">
        <v>1359</v>
      </c>
      <c r="E49" s="44" t="s">
        <v>1360</v>
      </c>
      <c r="F49" s="14">
        <v>91</v>
      </c>
      <c r="G49" s="15">
        <v>91</v>
      </c>
      <c r="H49" s="15">
        <v>88</v>
      </c>
      <c r="I49" s="30">
        <f t="shared" si="1"/>
        <v>91</v>
      </c>
      <c r="J49" s="29" t="s">
        <v>1235</v>
      </c>
      <c r="K49" s="43" t="s">
        <v>16</v>
      </c>
    </row>
    <row r="50" spans="1:11" ht="33.950000000000003" customHeight="1" x14ac:dyDescent="0.25">
      <c r="A50" s="29">
        <v>49</v>
      </c>
      <c r="B50" s="29" t="s">
        <v>1361</v>
      </c>
      <c r="C50" s="29" t="s">
        <v>1010</v>
      </c>
      <c r="D50" s="29" t="s">
        <v>1362</v>
      </c>
      <c r="E50" s="44" t="s">
        <v>1363</v>
      </c>
      <c r="F50" s="14">
        <v>91</v>
      </c>
      <c r="G50" s="15">
        <v>91</v>
      </c>
      <c r="H50" s="15">
        <v>88</v>
      </c>
      <c r="I50" s="30">
        <f t="shared" si="1"/>
        <v>91</v>
      </c>
      <c r="J50" s="29" t="s">
        <v>1235</v>
      </c>
      <c r="K50" s="43" t="s">
        <v>16</v>
      </c>
    </row>
    <row r="51" spans="1:11" ht="33.950000000000003" customHeight="1" x14ac:dyDescent="0.25">
      <c r="A51" s="29">
        <v>50</v>
      </c>
      <c r="B51" s="29" t="s">
        <v>1364</v>
      </c>
      <c r="C51" s="29" t="s">
        <v>18</v>
      </c>
      <c r="D51" s="29" t="s">
        <v>1365</v>
      </c>
      <c r="E51" s="45" t="s">
        <v>1366</v>
      </c>
      <c r="F51" s="14">
        <v>90</v>
      </c>
      <c r="G51" s="15">
        <v>90</v>
      </c>
      <c r="H51" s="15">
        <v>87</v>
      </c>
      <c r="I51" s="30">
        <f t="shared" si="1"/>
        <v>90</v>
      </c>
      <c r="J51" s="29" t="s">
        <v>1235</v>
      </c>
      <c r="K51" s="46" t="s">
        <v>850</v>
      </c>
    </row>
    <row r="52" spans="1:11" ht="33.950000000000003" customHeight="1" x14ac:dyDescent="0.25">
      <c r="A52" s="31">
        <v>51</v>
      </c>
      <c r="B52" s="31" t="s">
        <v>1367</v>
      </c>
      <c r="C52" s="31" t="s">
        <v>18</v>
      </c>
      <c r="D52" s="31" t="s">
        <v>1368</v>
      </c>
      <c r="E52" s="44" t="s">
        <v>1369</v>
      </c>
      <c r="F52" s="32">
        <v>89</v>
      </c>
      <c r="G52" s="33">
        <v>88</v>
      </c>
      <c r="H52" s="33">
        <v>86</v>
      </c>
      <c r="I52" s="34">
        <f t="shared" si="1"/>
        <v>88</v>
      </c>
      <c r="J52" s="31" t="s">
        <v>1235</v>
      </c>
      <c r="K52" s="43" t="s">
        <v>16</v>
      </c>
    </row>
    <row r="53" spans="1:11" ht="33.950000000000003" customHeight="1" x14ac:dyDescent="0.25">
      <c r="A53" s="35">
        <v>52</v>
      </c>
      <c r="B53" s="35" t="s">
        <v>1370</v>
      </c>
      <c r="C53" s="35" t="s">
        <v>18</v>
      </c>
      <c r="D53" s="35" t="s">
        <v>1371</v>
      </c>
      <c r="E53" s="45" t="s">
        <v>1372</v>
      </c>
      <c r="F53" s="18">
        <v>89</v>
      </c>
      <c r="G53" s="19">
        <v>88</v>
      </c>
      <c r="H53" s="19">
        <v>86</v>
      </c>
      <c r="I53" s="36">
        <f t="shared" si="1"/>
        <v>88</v>
      </c>
      <c r="J53" s="35" t="s">
        <v>1235</v>
      </c>
      <c r="K53" s="46" t="s">
        <v>850</v>
      </c>
    </row>
    <row r="54" spans="1:11" ht="33.950000000000003" customHeight="1" x14ac:dyDescent="0.25">
      <c r="A54" s="31">
        <v>53</v>
      </c>
      <c r="B54" s="31" t="s">
        <v>1373</v>
      </c>
      <c r="C54" s="31" t="s">
        <v>18</v>
      </c>
      <c r="D54" s="31" t="s">
        <v>1285</v>
      </c>
      <c r="E54" s="44" t="s">
        <v>1374</v>
      </c>
      <c r="F54" s="32">
        <v>89</v>
      </c>
      <c r="G54" s="33">
        <v>88</v>
      </c>
      <c r="H54" s="33">
        <v>86</v>
      </c>
      <c r="I54" s="34">
        <f t="shared" si="1"/>
        <v>88</v>
      </c>
      <c r="J54" s="31" t="s">
        <v>1235</v>
      </c>
      <c r="K54" s="43" t="s">
        <v>16</v>
      </c>
    </row>
    <row r="55" spans="1:11" ht="33.950000000000003" customHeight="1" x14ac:dyDescent="0.25">
      <c r="A55" s="35">
        <v>54</v>
      </c>
      <c r="B55" s="35" t="s">
        <v>1375</v>
      </c>
      <c r="C55" s="35" t="s">
        <v>18</v>
      </c>
      <c r="D55" s="35" t="s">
        <v>1376</v>
      </c>
      <c r="E55" s="45" t="s">
        <v>1377</v>
      </c>
      <c r="F55" s="18">
        <v>89</v>
      </c>
      <c r="G55" s="19">
        <v>88</v>
      </c>
      <c r="H55" s="19">
        <v>86</v>
      </c>
      <c r="I55" s="36">
        <f t="shared" si="1"/>
        <v>88</v>
      </c>
      <c r="J55" s="35" t="s">
        <v>1235</v>
      </c>
      <c r="K55" s="46" t="s">
        <v>850</v>
      </c>
    </row>
    <row r="56" spans="1:11" ht="33.950000000000003" customHeight="1" x14ac:dyDescent="0.25">
      <c r="A56" s="31">
        <v>55</v>
      </c>
      <c r="B56" s="31" t="s">
        <v>1378</v>
      </c>
      <c r="C56" s="31" t="s">
        <v>84</v>
      </c>
      <c r="D56" s="31" t="s">
        <v>1379</v>
      </c>
      <c r="E56" s="45" t="s">
        <v>1380</v>
      </c>
      <c r="F56" s="32">
        <v>89</v>
      </c>
      <c r="G56" s="33">
        <v>88</v>
      </c>
      <c r="H56" s="33">
        <v>86</v>
      </c>
      <c r="I56" s="34">
        <f t="shared" si="1"/>
        <v>88</v>
      </c>
      <c r="J56" s="31" t="s">
        <v>1235</v>
      </c>
      <c r="K56" s="46" t="s">
        <v>850</v>
      </c>
    </row>
    <row r="57" spans="1:11" ht="33.950000000000003" customHeight="1" x14ac:dyDescent="0.25">
      <c r="A57" s="35">
        <v>56</v>
      </c>
      <c r="B57" s="35" t="s">
        <v>1381</v>
      </c>
      <c r="C57" s="35" t="s">
        <v>1123</v>
      </c>
      <c r="D57" s="35" t="s">
        <v>1233</v>
      </c>
      <c r="E57" s="45" t="s">
        <v>1382</v>
      </c>
      <c r="F57" s="18">
        <v>89</v>
      </c>
      <c r="G57" s="19">
        <v>88</v>
      </c>
      <c r="H57" s="19">
        <v>86</v>
      </c>
      <c r="I57" s="36">
        <f t="shared" si="1"/>
        <v>88</v>
      </c>
      <c r="J57" s="35" t="s">
        <v>1235</v>
      </c>
      <c r="K57" s="46" t="s">
        <v>850</v>
      </c>
    </row>
    <row r="58" spans="1:11" ht="33.950000000000003" customHeight="1" x14ac:dyDescent="0.25">
      <c r="A58" s="31">
        <v>57</v>
      </c>
      <c r="B58" s="31" t="s">
        <v>1383</v>
      </c>
      <c r="C58" s="31" t="s">
        <v>380</v>
      </c>
      <c r="D58" s="31" t="s">
        <v>1233</v>
      </c>
      <c r="E58" s="45" t="s">
        <v>1382</v>
      </c>
      <c r="F58" s="32">
        <v>89</v>
      </c>
      <c r="G58" s="33">
        <v>88</v>
      </c>
      <c r="H58" s="33">
        <v>86</v>
      </c>
      <c r="I58" s="34">
        <f t="shared" si="1"/>
        <v>88</v>
      </c>
      <c r="J58" s="31" t="s">
        <v>1235</v>
      </c>
      <c r="K58" s="46" t="s">
        <v>850</v>
      </c>
    </row>
    <row r="59" spans="1:11" ht="33.950000000000003" customHeight="1" x14ac:dyDescent="0.25">
      <c r="A59" s="35">
        <v>58</v>
      </c>
      <c r="B59" s="35" t="s">
        <v>1384</v>
      </c>
      <c r="C59" s="35" t="s">
        <v>28</v>
      </c>
      <c r="D59" s="35" t="s">
        <v>1385</v>
      </c>
      <c r="E59" s="45" t="s">
        <v>1386</v>
      </c>
      <c r="F59" s="18">
        <v>89</v>
      </c>
      <c r="G59" s="19">
        <v>88</v>
      </c>
      <c r="H59" s="19">
        <v>86</v>
      </c>
      <c r="I59" s="36">
        <f t="shared" si="1"/>
        <v>88</v>
      </c>
      <c r="J59" s="35" t="s">
        <v>1235</v>
      </c>
      <c r="K59" s="46" t="s">
        <v>850</v>
      </c>
    </row>
    <row r="60" spans="1:11" ht="33.950000000000003" customHeight="1" x14ac:dyDescent="0.25">
      <c r="A60" s="31">
        <v>59</v>
      </c>
      <c r="B60" s="31" t="s">
        <v>1387</v>
      </c>
      <c r="C60" s="31" t="s">
        <v>18</v>
      </c>
      <c r="D60" s="31" t="s">
        <v>1388</v>
      </c>
      <c r="E60" s="45" t="s">
        <v>1389</v>
      </c>
      <c r="F60" s="32">
        <v>89</v>
      </c>
      <c r="G60" s="33">
        <v>88</v>
      </c>
      <c r="H60" s="33">
        <v>86</v>
      </c>
      <c r="I60" s="34">
        <f t="shared" si="1"/>
        <v>88</v>
      </c>
      <c r="J60" s="31" t="s">
        <v>1235</v>
      </c>
      <c r="K60" s="46" t="s">
        <v>850</v>
      </c>
    </row>
    <row r="61" spans="1:11" ht="33.950000000000003" customHeight="1" x14ac:dyDescent="0.25">
      <c r="A61" s="35">
        <v>60</v>
      </c>
      <c r="B61" s="35" t="s">
        <v>1390</v>
      </c>
      <c r="C61" s="35" t="s">
        <v>18</v>
      </c>
      <c r="D61" s="35" t="s">
        <v>1391</v>
      </c>
      <c r="E61" s="45" t="s">
        <v>1392</v>
      </c>
      <c r="F61" s="18">
        <v>89</v>
      </c>
      <c r="G61" s="19">
        <v>88</v>
      </c>
      <c r="H61" s="19">
        <v>86</v>
      </c>
      <c r="I61" s="36">
        <f t="shared" si="1"/>
        <v>88</v>
      </c>
      <c r="J61" s="35" t="s">
        <v>1235</v>
      </c>
      <c r="K61" s="46" t="s">
        <v>850</v>
      </c>
    </row>
    <row r="62" spans="1:11" ht="33.950000000000003" customHeight="1" x14ac:dyDescent="0.25">
      <c r="A62" s="31">
        <v>61</v>
      </c>
      <c r="B62" s="31" t="s">
        <v>1393</v>
      </c>
      <c r="C62" s="31" t="s">
        <v>18</v>
      </c>
      <c r="D62" s="31" t="s">
        <v>1394</v>
      </c>
      <c r="E62" s="45" t="s">
        <v>1395</v>
      </c>
      <c r="F62" s="32">
        <v>89</v>
      </c>
      <c r="G62" s="33">
        <v>88</v>
      </c>
      <c r="H62" s="33">
        <v>86</v>
      </c>
      <c r="I62" s="34">
        <f t="shared" si="1"/>
        <v>88</v>
      </c>
      <c r="J62" s="31" t="s">
        <v>1235</v>
      </c>
      <c r="K62" s="46" t="s">
        <v>850</v>
      </c>
    </row>
    <row r="63" spans="1:11" ht="33.950000000000003" customHeight="1" x14ac:dyDescent="0.25">
      <c r="A63" s="35">
        <v>62</v>
      </c>
      <c r="B63" s="35" t="s">
        <v>1396</v>
      </c>
      <c r="C63" s="35" t="s">
        <v>18</v>
      </c>
      <c r="D63" s="35" t="s">
        <v>1397</v>
      </c>
      <c r="E63" s="45" t="s">
        <v>1398</v>
      </c>
      <c r="F63" s="18">
        <v>89</v>
      </c>
      <c r="G63" s="19">
        <v>88</v>
      </c>
      <c r="H63" s="19">
        <v>86</v>
      </c>
      <c r="I63" s="36">
        <f t="shared" si="1"/>
        <v>88</v>
      </c>
      <c r="J63" s="35" t="s">
        <v>1235</v>
      </c>
      <c r="K63" s="46" t="s">
        <v>850</v>
      </c>
    </row>
    <row r="64" spans="1:11" ht="33.950000000000003" customHeight="1" x14ac:dyDescent="0.25">
      <c r="A64" s="31">
        <v>63</v>
      </c>
      <c r="B64" s="31" t="s">
        <v>1399</v>
      </c>
      <c r="C64" s="31" t="s">
        <v>18</v>
      </c>
      <c r="D64" s="31" t="s">
        <v>1400</v>
      </c>
      <c r="E64" s="45" t="s">
        <v>1401</v>
      </c>
      <c r="F64" s="32">
        <v>89</v>
      </c>
      <c r="G64" s="33">
        <v>88</v>
      </c>
      <c r="H64" s="33">
        <v>86</v>
      </c>
      <c r="I64" s="34">
        <f t="shared" si="1"/>
        <v>88</v>
      </c>
      <c r="J64" s="31" t="s">
        <v>1235</v>
      </c>
      <c r="K64" s="46" t="s">
        <v>850</v>
      </c>
    </row>
    <row r="65" spans="1:11" ht="33.950000000000003" customHeight="1" x14ac:dyDescent="0.25">
      <c r="A65" s="35">
        <v>64</v>
      </c>
      <c r="B65" s="35" t="s">
        <v>1402</v>
      </c>
      <c r="C65" s="35" t="s">
        <v>531</v>
      </c>
      <c r="D65" s="35" t="s">
        <v>1403</v>
      </c>
      <c r="E65" s="45" t="s">
        <v>1404</v>
      </c>
      <c r="F65" s="18">
        <v>88</v>
      </c>
      <c r="G65" s="19">
        <v>87</v>
      </c>
      <c r="H65" s="19">
        <v>85</v>
      </c>
      <c r="I65" s="36">
        <f t="shared" si="1"/>
        <v>87</v>
      </c>
      <c r="J65" s="35" t="s">
        <v>1235</v>
      </c>
      <c r="K65" s="46" t="s">
        <v>850</v>
      </c>
    </row>
    <row r="66" spans="1:11" ht="33.950000000000003" customHeight="1" x14ac:dyDescent="0.25">
      <c r="A66" s="31">
        <v>65</v>
      </c>
      <c r="B66" s="31" t="s">
        <v>1405</v>
      </c>
      <c r="C66" s="31" t="s">
        <v>37</v>
      </c>
      <c r="D66" s="31" t="s">
        <v>1406</v>
      </c>
      <c r="E66" s="45" t="s">
        <v>1407</v>
      </c>
      <c r="F66" s="32">
        <v>88</v>
      </c>
      <c r="G66" s="33">
        <v>87</v>
      </c>
      <c r="H66" s="33">
        <v>85</v>
      </c>
      <c r="I66" s="34">
        <f t="shared" ref="I66:I97" si="2">ROUND(F66*0.55+G66*0.3+H66*0.15,0)</f>
        <v>87</v>
      </c>
      <c r="J66" s="31" t="s">
        <v>1235</v>
      </c>
      <c r="K66" s="46" t="s">
        <v>850</v>
      </c>
    </row>
    <row r="67" spans="1:11" ht="33.950000000000003" customHeight="1" x14ac:dyDescent="0.25">
      <c r="A67" s="35">
        <v>66</v>
      </c>
      <c r="B67" s="35" t="s">
        <v>1408</v>
      </c>
      <c r="C67" s="35" t="s">
        <v>37</v>
      </c>
      <c r="D67" s="35" t="s">
        <v>1409</v>
      </c>
      <c r="E67" s="45" t="s">
        <v>1410</v>
      </c>
      <c r="F67" s="18">
        <v>88</v>
      </c>
      <c r="G67" s="19">
        <v>87</v>
      </c>
      <c r="H67" s="19">
        <v>85</v>
      </c>
      <c r="I67" s="36">
        <f t="shared" si="2"/>
        <v>87</v>
      </c>
      <c r="J67" s="35" t="s">
        <v>1235</v>
      </c>
      <c r="K67" s="46" t="s">
        <v>850</v>
      </c>
    </row>
    <row r="68" spans="1:11" ht="33.950000000000003" customHeight="1" x14ac:dyDescent="0.25">
      <c r="A68" s="31">
        <v>67</v>
      </c>
      <c r="B68" s="31" t="s">
        <v>1411</v>
      </c>
      <c r="C68" s="31" t="s">
        <v>137</v>
      </c>
      <c r="D68" s="31" t="s">
        <v>1412</v>
      </c>
      <c r="E68" s="45" t="s">
        <v>1413</v>
      </c>
      <c r="F68" s="32">
        <v>88</v>
      </c>
      <c r="G68" s="33">
        <v>87</v>
      </c>
      <c r="H68" s="33">
        <v>85</v>
      </c>
      <c r="I68" s="34">
        <f t="shared" si="2"/>
        <v>87</v>
      </c>
      <c r="J68" s="31" t="s">
        <v>1235</v>
      </c>
      <c r="K68" s="46" t="s">
        <v>850</v>
      </c>
    </row>
    <row r="69" spans="1:11" ht="33.950000000000003" customHeight="1" x14ac:dyDescent="0.25">
      <c r="A69" s="35">
        <v>68</v>
      </c>
      <c r="B69" s="35" t="s">
        <v>334</v>
      </c>
      <c r="C69" s="35" t="s">
        <v>867</v>
      </c>
      <c r="D69" s="35" t="s">
        <v>1237</v>
      </c>
      <c r="E69" s="45" t="s">
        <v>1414</v>
      </c>
      <c r="F69" s="18">
        <v>88</v>
      </c>
      <c r="G69" s="19">
        <v>87</v>
      </c>
      <c r="H69" s="19">
        <v>85</v>
      </c>
      <c r="I69" s="36">
        <f t="shared" si="2"/>
        <v>87</v>
      </c>
      <c r="J69" s="35" t="s">
        <v>1235</v>
      </c>
      <c r="K69" s="46" t="s">
        <v>850</v>
      </c>
    </row>
    <row r="70" spans="1:11" ht="33.950000000000003" customHeight="1" x14ac:dyDescent="0.25">
      <c r="A70" s="31">
        <v>69</v>
      </c>
      <c r="B70" s="31" t="s">
        <v>1415</v>
      </c>
      <c r="C70" s="31" t="s">
        <v>1416</v>
      </c>
      <c r="D70" s="31" t="s">
        <v>1237</v>
      </c>
      <c r="E70" s="45" t="s">
        <v>1414</v>
      </c>
      <c r="F70" s="32">
        <v>88</v>
      </c>
      <c r="G70" s="33">
        <v>87</v>
      </c>
      <c r="H70" s="33">
        <v>85</v>
      </c>
      <c r="I70" s="34">
        <f t="shared" si="2"/>
        <v>87</v>
      </c>
      <c r="J70" s="31" t="s">
        <v>1235</v>
      </c>
      <c r="K70" s="46" t="s">
        <v>850</v>
      </c>
    </row>
    <row r="71" spans="1:11" ht="33.950000000000003" customHeight="1" x14ac:dyDescent="0.25">
      <c r="A71" s="35">
        <v>70</v>
      </c>
      <c r="B71" s="35" t="s">
        <v>1417</v>
      </c>
      <c r="C71" s="35" t="s">
        <v>18</v>
      </c>
      <c r="D71" s="35" t="s">
        <v>1237</v>
      </c>
      <c r="E71" s="45" t="s">
        <v>1414</v>
      </c>
      <c r="F71" s="18">
        <v>88</v>
      </c>
      <c r="G71" s="19">
        <v>87</v>
      </c>
      <c r="H71" s="19">
        <v>85</v>
      </c>
      <c r="I71" s="36">
        <f t="shared" si="2"/>
        <v>87</v>
      </c>
      <c r="J71" s="35" t="s">
        <v>1235</v>
      </c>
      <c r="K71" s="46" t="s">
        <v>850</v>
      </c>
    </row>
    <row r="72" spans="1:11" ht="33.950000000000003" customHeight="1" x14ac:dyDescent="0.25">
      <c r="A72" s="31">
        <v>71</v>
      </c>
      <c r="B72" s="31" t="s">
        <v>875</v>
      </c>
      <c r="C72" s="31" t="s">
        <v>113</v>
      </c>
      <c r="D72" s="31" t="s">
        <v>1285</v>
      </c>
      <c r="E72" s="45" t="s">
        <v>1286</v>
      </c>
      <c r="F72" s="32">
        <v>88</v>
      </c>
      <c r="G72" s="33">
        <v>87</v>
      </c>
      <c r="H72" s="33">
        <v>85</v>
      </c>
      <c r="I72" s="34">
        <f t="shared" si="2"/>
        <v>87</v>
      </c>
      <c r="J72" s="31" t="s">
        <v>1235</v>
      </c>
      <c r="K72" s="46" t="s">
        <v>850</v>
      </c>
    </row>
    <row r="73" spans="1:11" ht="33.950000000000003" customHeight="1" x14ac:dyDescent="0.25">
      <c r="A73" s="35">
        <v>72</v>
      </c>
      <c r="B73" s="35" t="s">
        <v>1418</v>
      </c>
      <c r="C73" s="35" t="s">
        <v>225</v>
      </c>
      <c r="D73" s="35" t="s">
        <v>1419</v>
      </c>
      <c r="E73" s="45" t="s">
        <v>1420</v>
      </c>
      <c r="F73" s="18">
        <v>88</v>
      </c>
      <c r="G73" s="19">
        <v>87</v>
      </c>
      <c r="H73" s="19">
        <v>85</v>
      </c>
      <c r="I73" s="36">
        <f t="shared" si="2"/>
        <v>87</v>
      </c>
      <c r="J73" s="35" t="s">
        <v>1235</v>
      </c>
      <c r="K73" s="46" t="s">
        <v>850</v>
      </c>
    </row>
    <row r="74" spans="1:11" ht="33.950000000000003" customHeight="1" x14ac:dyDescent="0.25">
      <c r="A74" s="31">
        <v>73</v>
      </c>
      <c r="B74" s="31" t="s">
        <v>1421</v>
      </c>
      <c r="C74" s="31" t="s">
        <v>62</v>
      </c>
      <c r="D74" s="31" t="s">
        <v>1422</v>
      </c>
      <c r="E74" s="45" t="s">
        <v>1423</v>
      </c>
      <c r="F74" s="32">
        <v>88</v>
      </c>
      <c r="G74" s="33">
        <v>87</v>
      </c>
      <c r="H74" s="33">
        <v>85</v>
      </c>
      <c r="I74" s="34">
        <f t="shared" si="2"/>
        <v>87</v>
      </c>
      <c r="J74" s="31" t="s">
        <v>1235</v>
      </c>
      <c r="K74" s="46" t="s">
        <v>850</v>
      </c>
    </row>
    <row r="75" spans="1:11" ht="33.950000000000003" customHeight="1" x14ac:dyDescent="0.25">
      <c r="A75" s="35">
        <v>74</v>
      </c>
      <c r="B75" s="35" t="s">
        <v>1424</v>
      </c>
      <c r="C75" s="35" t="s">
        <v>62</v>
      </c>
      <c r="D75" s="35" t="s">
        <v>1425</v>
      </c>
      <c r="E75" s="45" t="s">
        <v>1426</v>
      </c>
      <c r="F75" s="18">
        <v>88</v>
      </c>
      <c r="G75" s="19">
        <v>87</v>
      </c>
      <c r="H75" s="19">
        <v>85</v>
      </c>
      <c r="I75" s="36">
        <f t="shared" si="2"/>
        <v>87</v>
      </c>
      <c r="J75" s="35" t="s">
        <v>1235</v>
      </c>
      <c r="K75" s="46" t="s">
        <v>850</v>
      </c>
    </row>
    <row r="76" spans="1:11" ht="33.950000000000003" customHeight="1" x14ac:dyDescent="0.25">
      <c r="A76" s="31">
        <v>75</v>
      </c>
      <c r="B76" s="31" t="s">
        <v>843</v>
      </c>
      <c r="C76" s="31" t="s">
        <v>18</v>
      </c>
      <c r="D76" s="31" t="s">
        <v>1427</v>
      </c>
      <c r="E76" s="45" t="s">
        <v>1428</v>
      </c>
      <c r="F76" s="32">
        <v>88</v>
      </c>
      <c r="G76" s="33">
        <v>87</v>
      </c>
      <c r="H76" s="33">
        <v>85</v>
      </c>
      <c r="I76" s="34">
        <f t="shared" si="2"/>
        <v>87</v>
      </c>
      <c r="J76" s="31" t="s">
        <v>1235</v>
      </c>
      <c r="K76" s="46" t="s">
        <v>850</v>
      </c>
    </row>
    <row r="77" spans="1:11" ht="33.950000000000003" customHeight="1" x14ac:dyDescent="0.25">
      <c r="A77" s="35">
        <v>76</v>
      </c>
      <c r="B77" s="35" t="s">
        <v>1429</v>
      </c>
      <c r="C77" s="35" t="s">
        <v>238</v>
      </c>
      <c r="D77" s="35" t="s">
        <v>1285</v>
      </c>
      <c r="E77" s="45" t="s">
        <v>1286</v>
      </c>
      <c r="F77" s="18">
        <v>88</v>
      </c>
      <c r="G77" s="19">
        <v>87</v>
      </c>
      <c r="H77" s="19">
        <v>85</v>
      </c>
      <c r="I77" s="36">
        <f t="shared" si="2"/>
        <v>87</v>
      </c>
      <c r="J77" s="35" t="s">
        <v>1235</v>
      </c>
      <c r="K77" s="46" t="s">
        <v>850</v>
      </c>
    </row>
    <row r="78" spans="1:11" ht="33.950000000000003" customHeight="1" x14ac:dyDescent="0.25">
      <c r="A78" s="31">
        <v>77</v>
      </c>
      <c r="B78" s="31" t="s">
        <v>1430</v>
      </c>
      <c r="C78" s="31" t="s">
        <v>18</v>
      </c>
      <c r="D78" s="31" t="s">
        <v>1431</v>
      </c>
      <c r="E78" s="45" t="s">
        <v>1432</v>
      </c>
      <c r="F78" s="32">
        <v>87</v>
      </c>
      <c r="G78" s="33">
        <v>86</v>
      </c>
      <c r="H78" s="33">
        <v>84</v>
      </c>
      <c r="I78" s="34">
        <f t="shared" si="2"/>
        <v>86</v>
      </c>
      <c r="J78" s="31" t="s">
        <v>1235</v>
      </c>
      <c r="K78" s="46" t="s">
        <v>850</v>
      </c>
    </row>
    <row r="79" spans="1:11" ht="33.950000000000003" customHeight="1" x14ac:dyDescent="0.25">
      <c r="A79" s="35">
        <v>78</v>
      </c>
      <c r="B79" s="35" t="s">
        <v>1433</v>
      </c>
      <c r="C79" s="35" t="s">
        <v>122</v>
      </c>
      <c r="D79" s="35" t="s">
        <v>1285</v>
      </c>
      <c r="E79" s="45" t="s">
        <v>1286</v>
      </c>
      <c r="F79" s="18">
        <v>87</v>
      </c>
      <c r="G79" s="19">
        <v>86</v>
      </c>
      <c r="H79" s="19">
        <v>84</v>
      </c>
      <c r="I79" s="36">
        <f t="shared" si="2"/>
        <v>86</v>
      </c>
      <c r="J79" s="35" t="s">
        <v>1235</v>
      </c>
      <c r="K79" s="46" t="s">
        <v>850</v>
      </c>
    </row>
    <row r="80" spans="1:11" ht="33.950000000000003" customHeight="1" x14ac:dyDescent="0.25">
      <c r="A80" s="31">
        <v>79</v>
      </c>
      <c r="B80" s="31" t="s">
        <v>1434</v>
      </c>
      <c r="C80" s="31" t="s">
        <v>96</v>
      </c>
      <c r="D80" s="31" t="s">
        <v>1285</v>
      </c>
      <c r="E80" s="45" t="s">
        <v>1286</v>
      </c>
      <c r="F80" s="32">
        <v>87</v>
      </c>
      <c r="G80" s="33">
        <v>86</v>
      </c>
      <c r="H80" s="33">
        <v>84</v>
      </c>
      <c r="I80" s="34">
        <f t="shared" si="2"/>
        <v>86</v>
      </c>
      <c r="J80" s="31" t="s">
        <v>1235</v>
      </c>
      <c r="K80" s="46" t="s">
        <v>850</v>
      </c>
    </row>
    <row r="81" spans="1:11" ht="33.950000000000003" customHeight="1" x14ac:dyDescent="0.25">
      <c r="A81" s="35">
        <v>80</v>
      </c>
      <c r="B81" s="35" t="s">
        <v>1435</v>
      </c>
      <c r="C81" s="35" t="s">
        <v>96</v>
      </c>
      <c r="D81" s="35" t="s">
        <v>1436</v>
      </c>
      <c r="E81" s="45" t="s">
        <v>1437</v>
      </c>
      <c r="F81" s="18">
        <v>87</v>
      </c>
      <c r="G81" s="19">
        <v>86</v>
      </c>
      <c r="H81" s="19">
        <v>84</v>
      </c>
      <c r="I81" s="36">
        <f t="shared" si="2"/>
        <v>86</v>
      </c>
      <c r="J81" s="35" t="s">
        <v>1235</v>
      </c>
      <c r="K81" s="46" t="s">
        <v>850</v>
      </c>
    </row>
    <row r="82" spans="1:11" ht="33.950000000000003" customHeight="1" x14ac:dyDescent="0.25">
      <c r="A82" s="31">
        <v>81</v>
      </c>
      <c r="B82" s="31" t="s">
        <v>1438</v>
      </c>
      <c r="C82" s="31" t="s">
        <v>531</v>
      </c>
      <c r="D82" s="31" t="s">
        <v>1439</v>
      </c>
      <c r="E82" s="45" t="s">
        <v>1440</v>
      </c>
      <c r="F82" s="32">
        <v>86</v>
      </c>
      <c r="G82" s="33">
        <v>86</v>
      </c>
      <c r="H82" s="33">
        <v>92</v>
      </c>
      <c r="I82" s="34">
        <f t="shared" si="2"/>
        <v>87</v>
      </c>
      <c r="J82" s="31" t="s">
        <v>1235</v>
      </c>
      <c r="K82" s="46" t="s">
        <v>850</v>
      </c>
    </row>
    <row r="83" spans="1:11" ht="33.950000000000003" customHeight="1" x14ac:dyDescent="0.25">
      <c r="A83" s="35">
        <v>82</v>
      </c>
      <c r="B83" s="35" t="s">
        <v>1441</v>
      </c>
      <c r="C83" s="35" t="s">
        <v>62</v>
      </c>
      <c r="D83" s="35" t="s">
        <v>1442</v>
      </c>
      <c r="E83" s="45" t="s">
        <v>1443</v>
      </c>
      <c r="F83" s="18">
        <v>86</v>
      </c>
      <c r="G83" s="19">
        <v>86</v>
      </c>
      <c r="H83" s="19">
        <v>92</v>
      </c>
      <c r="I83" s="36">
        <f t="shared" si="2"/>
        <v>87</v>
      </c>
      <c r="J83" s="35" t="s">
        <v>1235</v>
      </c>
      <c r="K83" s="46" t="s">
        <v>850</v>
      </c>
    </row>
    <row r="84" spans="1:11" ht="33.950000000000003" customHeight="1" x14ac:dyDescent="0.25">
      <c r="A84" s="31">
        <v>83</v>
      </c>
      <c r="B84" s="31" t="s">
        <v>1444</v>
      </c>
      <c r="C84" s="31" t="s">
        <v>62</v>
      </c>
      <c r="D84" s="31" t="s">
        <v>1445</v>
      </c>
      <c r="E84" s="45" t="s">
        <v>1446</v>
      </c>
      <c r="F84" s="32">
        <v>86</v>
      </c>
      <c r="G84" s="33">
        <v>86</v>
      </c>
      <c r="H84" s="33">
        <v>92</v>
      </c>
      <c r="I84" s="34">
        <f t="shared" si="2"/>
        <v>87</v>
      </c>
      <c r="J84" s="31" t="s">
        <v>1235</v>
      </c>
      <c r="K84" s="46" t="s">
        <v>850</v>
      </c>
    </row>
    <row r="85" spans="1:11" ht="33.950000000000003" customHeight="1" x14ac:dyDescent="0.25">
      <c r="A85" s="35">
        <v>84</v>
      </c>
      <c r="B85" s="35" t="s">
        <v>1447</v>
      </c>
      <c r="C85" s="35" t="s">
        <v>37</v>
      </c>
      <c r="D85" s="35" t="s">
        <v>1250</v>
      </c>
      <c r="E85" s="45" t="s">
        <v>1330</v>
      </c>
      <c r="F85" s="18">
        <v>86</v>
      </c>
      <c r="G85" s="19">
        <v>86</v>
      </c>
      <c r="H85" s="19">
        <v>92</v>
      </c>
      <c r="I85" s="36">
        <f t="shared" si="2"/>
        <v>87</v>
      </c>
      <c r="J85" s="35" t="s">
        <v>1235</v>
      </c>
      <c r="K85" s="46" t="s">
        <v>850</v>
      </c>
    </row>
    <row r="86" spans="1:11" ht="33.950000000000003" customHeight="1" x14ac:dyDescent="0.25">
      <c r="A86" s="31">
        <v>85</v>
      </c>
      <c r="B86" s="31" t="s">
        <v>1448</v>
      </c>
      <c r="C86" s="31" t="s">
        <v>37</v>
      </c>
      <c r="D86" s="31" t="s">
        <v>1449</v>
      </c>
      <c r="E86" s="45" t="s">
        <v>1450</v>
      </c>
      <c r="F86" s="32">
        <v>86</v>
      </c>
      <c r="G86" s="33">
        <v>86</v>
      </c>
      <c r="H86" s="33">
        <v>92</v>
      </c>
      <c r="I86" s="34">
        <f t="shared" si="2"/>
        <v>87</v>
      </c>
      <c r="J86" s="31" t="s">
        <v>1235</v>
      </c>
      <c r="K86" s="46" t="s">
        <v>850</v>
      </c>
    </row>
    <row r="87" spans="1:11" ht="33.950000000000003" customHeight="1" x14ac:dyDescent="0.25">
      <c r="A87" s="35">
        <v>86</v>
      </c>
      <c r="B87" s="35" t="s">
        <v>1451</v>
      </c>
      <c r="C87" s="35" t="s">
        <v>37</v>
      </c>
      <c r="D87" s="35" t="s">
        <v>1250</v>
      </c>
      <c r="E87" s="45" t="s">
        <v>1330</v>
      </c>
      <c r="F87" s="18">
        <v>86</v>
      </c>
      <c r="G87" s="19">
        <v>86</v>
      </c>
      <c r="H87" s="19">
        <v>92</v>
      </c>
      <c r="I87" s="36">
        <f t="shared" si="2"/>
        <v>87</v>
      </c>
      <c r="J87" s="35" t="s">
        <v>1235</v>
      </c>
      <c r="K87" s="46" t="s">
        <v>850</v>
      </c>
    </row>
    <row r="88" spans="1:11" ht="33.950000000000003" customHeight="1" x14ac:dyDescent="0.25">
      <c r="A88" s="31">
        <v>87</v>
      </c>
      <c r="B88" s="31" t="s">
        <v>196</v>
      </c>
      <c r="C88" s="31" t="s">
        <v>197</v>
      </c>
      <c r="D88" s="31" t="s">
        <v>1250</v>
      </c>
      <c r="E88" s="45" t="s">
        <v>1330</v>
      </c>
      <c r="F88" s="32">
        <v>86</v>
      </c>
      <c r="G88" s="33">
        <v>86</v>
      </c>
      <c r="H88" s="33">
        <v>92</v>
      </c>
      <c r="I88" s="34">
        <f t="shared" si="2"/>
        <v>87</v>
      </c>
      <c r="J88" s="31" t="s">
        <v>1235</v>
      </c>
      <c r="K88" s="46" t="s">
        <v>850</v>
      </c>
    </row>
    <row r="89" spans="1:11" ht="33.950000000000003" customHeight="1" x14ac:dyDescent="0.25">
      <c r="A89" s="35">
        <v>88</v>
      </c>
      <c r="B89" s="35" t="s">
        <v>41</v>
      </c>
      <c r="C89" s="35" t="s">
        <v>176</v>
      </c>
      <c r="D89" s="35" t="s">
        <v>1250</v>
      </c>
      <c r="E89" s="45" t="s">
        <v>1330</v>
      </c>
      <c r="F89" s="18">
        <v>86</v>
      </c>
      <c r="G89" s="19">
        <v>86</v>
      </c>
      <c r="H89" s="19">
        <v>92</v>
      </c>
      <c r="I89" s="36">
        <f t="shared" si="2"/>
        <v>87</v>
      </c>
      <c r="J89" s="35" t="s">
        <v>1235</v>
      </c>
      <c r="K89" s="46" t="s">
        <v>850</v>
      </c>
    </row>
    <row r="90" spans="1:11" ht="33.950000000000003" customHeight="1" x14ac:dyDescent="0.25">
      <c r="A90" s="31">
        <v>89</v>
      </c>
      <c r="B90" s="31" t="s">
        <v>1452</v>
      </c>
      <c r="C90" s="31" t="s">
        <v>286</v>
      </c>
      <c r="D90" s="31" t="s">
        <v>1439</v>
      </c>
      <c r="E90" s="45" t="s">
        <v>1440</v>
      </c>
      <c r="F90" s="32">
        <v>86</v>
      </c>
      <c r="G90" s="33">
        <v>86</v>
      </c>
      <c r="H90" s="33">
        <v>92</v>
      </c>
      <c r="I90" s="34">
        <f t="shared" si="2"/>
        <v>87</v>
      </c>
      <c r="J90" s="31" t="s">
        <v>1235</v>
      </c>
      <c r="K90" s="46" t="s">
        <v>850</v>
      </c>
    </row>
    <row r="91" spans="1:11" ht="33.950000000000003" customHeight="1" x14ac:dyDescent="0.25">
      <c r="A91" s="35">
        <v>90</v>
      </c>
      <c r="B91" s="35" t="s">
        <v>1453</v>
      </c>
      <c r="C91" s="35" t="s">
        <v>18</v>
      </c>
      <c r="D91" s="35" t="s">
        <v>1439</v>
      </c>
      <c r="E91" s="45" t="s">
        <v>1440</v>
      </c>
      <c r="F91" s="18">
        <v>85</v>
      </c>
      <c r="G91" s="19">
        <v>85</v>
      </c>
      <c r="H91" s="19">
        <v>91</v>
      </c>
      <c r="I91" s="36">
        <f t="shared" si="2"/>
        <v>86</v>
      </c>
      <c r="J91" s="35" t="s">
        <v>1235</v>
      </c>
      <c r="K91" s="46" t="s">
        <v>850</v>
      </c>
    </row>
    <row r="92" spans="1:11" ht="33.950000000000003" customHeight="1" x14ac:dyDescent="0.25">
      <c r="A92" s="31">
        <v>91</v>
      </c>
      <c r="B92" s="31" t="s">
        <v>1454</v>
      </c>
      <c r="C92" s="31" t="s">
        <v>105</v>
      </c>
      <c r="D92" s="31" t="s">
        <v>1233</v>
      </c>
      <c r="E92" s="44" t="s">
        <v>1455</v>
      </c>
      <c r="F92" s="32">
        <v>85</v>
      </c>
      <c r="G92" s="33">
        <v>85</v>
      </c>
      <c r="H92" s="33">
        <v>91</v>
      </c>
      <c r="I92" s="34">
        <f t="shared" si="2"/>
        <v>86</v>
      </c>
      <c r="J92" s="31" t="s">
        <v>1235</v>
      </c>
      <c r="K92" s="43" t="s">
        <v>16</v>
      </c>
    </row>
    <row r="93" spans="1:11" ht="33.950000000000003" customHeight="1" x14ac:dyDescent="0.25">
      <c r="A93" s="35">
        <v>92</v>
      </c>
      <c r="B93" s="35" t="s">
        <v>1456</v>
      </c>
      <c r="C93" s="35" t="s">
        <v>18</v>
      </c>
      <c r="D93" s="35" t="s">
        <v>1233</v>
      </c>
      <c r="E93" s="44" t="s">
        <v>1457</v>
      </c>
      <c r="F93" s="18">
        <v>85</v>
      </c>
      <c r="G93" s="19">
        <v>85</v>
      </c>
      <c r="H93" s="19">
        <v>91</v>
      </c>
      <c r="I93" s="36">
        <f t="shared" si="2"/>
        <v>86</v>
      </c>
      <c r="J93" s="35" t="s">
        <v>1235</v>
      </c>
      <c r="K93" s="43" t="s">
        <v>16</v>
      </c>
    </row>
    <row r="94" spans="1:11" ht="33.950000000000003" customHeight="1" x14ac:dyDescent="0.25">
      <c r="A94" s="31">
        <v>93</v>
      </c>
      <c r="B94" s="31" t="s">
        <v>1458</v>
      </c>
      <c r="C94" s="31" t="s">
        <v>62</v>
      </c>
      <c r="D94" s="31" t="s">
        <v>1233</v>
      </c>
      <c r="E94" s="45" t="s">
        <v>1382</v>
      </c>
      <c r="F94" s="32">
        <v>85</v>
      </c>
      <c r="G94" s="33">
        <v>85</v>
      </c>
      <c r="H94" s="33">
        <v>91</v>
      </c>
      <c r="I94" s="34">
        <f t="shared" si="2"/>
        <v>86</v>
      </c>
      <c r="J94" s="31" t="s">
        <v>1235</v>
      </c>
      <c r="K94" s="46" t="s">
        <v>850</v>
      </c>
    </row>
    <row r="95" spans="1:11" ht="33.950000000000003" customHeight="1" x14ac:dyDescent="0.25">
      <c r="A95" s="35">
        <v>94</v>
      </c>
      <c r="B95" s="35" t="s">
        <v>1459</v>
      </c>
      <c r="C95" s="35" t="s">
        <v>62</v>
      </c>
      <c r="D95" s="35" t="s">
        <v>1233</v>
      </c>
      <c r="E95" s="45" t="s">
        <v>1382</v>
      </c>
      <c r="F95" s="18">
        <v>85</v>
      </c>
      <c r="G95" s="19">
        <v>85</v>
      </c>
      <c r="H95" s="19">
        <v>91</v>
      </c>
      <c r="I95" s="36">
        <f t="shared" si="2"/>
        <v>86</v>
      </c>
      <c r="J95" s="35" t="s">
        <v>1235</v>
      </c>
      <c r="K95" s="46" t="s">
        <v>850</v>
      </c>
    </row>
    <row r="96" spans="1:11" ht="33.950000000000003" customHeight="1" x14ac:dyDescent="0.25">
      <c r="A96" s="31">
        <v>95</v>
      </c>
      <c r="B96" s="31" t="s">
        <v>1460</v>
      </c>
      <c r="C96" s="31" t="s">
        <v>122</v>
      </c>
      <c r="D96" s="31" t="s">
        <v>1461</v>
      </c>
      <c r="E96" s="45" t="s">
        <v>1462</v>
      </c>
      <c r="F96" s="32">
        <v>85</v>
      </c>
      <c r="G96" s="33">
        <v>85</v>
      </c>
      <c r="H96" s="33">
        <v>91</v>
      </c>
      <c r="I96" s="34">
        <f t="shared" si="2"/>
        <v>86</v>
      </c>
      <c r="J96" s="31" t="s">
        <v>1235</v>
      </c>
      <c r="K96" s="46" t="s">
        <v>850</v>
      </c>
    </row>
    <row r="97" spans="1:11" ht="33.950000000000003" customHeight="1" x14ac:dyDescent="0.25">
      <c r="A97" s="35">
        <v>96</v>
      </c>
      <c r="B97" s="35" t="s">
        <v>1463</v>
      </c>
      <c r="C97" s="35" t="s">
        <v>62</v>
      </c>
      <c r="D97" s="35" t="s">
        <v>1237</v>
      </c>
      <c r="E97" s="45" t="s">
        <v>1414</v>
      </c>
      <c r="F97" s="18">
        <v>85</v>
      </c>
      <c r="G97" s="19">
        <v>85</v>
      </c>
      <c r="H97" s="19">
        <v>91</v>
      </c>
      <c r="I97" s="36">
        <f t="shared" si="2"/>
        <v>86</v>
      </c>
      <c r="J97" s="35" t="s">
        <v>1235</v>
      </c>
      <c r="K97" s="46" t="s">
        <v>850</v>
      </c>
    </row>
    <row r="98" spans="1:11" ht="33.950000000000003" customHeight="1" x14ac:dyDescent="0.25">
      <c r="A98" s="31">
        <v>97</v>
      </c>
      <c r="B98" s="31" t="s">
        <v>1464</v>
      </c>
      <c r="C98" s="31" t="s">
        <v>80</v>
      </c>
      <c r="D98" s="31" t="s">
        <v>1237</v>
      </c>
      <c r="E98" s="45" t="s">
        <v>1414</v>
      </c>
      <c r="F98" s="32">
        <v>85</v>
      </c>
      <c r="G98" s="33">
        <v>85</v>
      </c>
      <c r="H98" s="33">
        <v>91</v>
      </c>
      <c r="I98" s="34">
        <f t="shared" ref="I98:I129" si="3">ROUND(F98*0.55+G98*0.3+H98*0.15,0)</f>
        <v>86</v>
      </c>
      <c r="J98" s="31" t="s">
        <v>1235</v>
      </c>
      <c r="K98" s="46" t="s">
        <v>850</v>
      </c>
    </row>
    <row r="99" spans="1:11" ht="33.950000000000003" customHeight="1" x14ac:dyDescent="0.25">
      <c r="A99" s="35">
        <v>98</v>
      </c>
      <c r="B99" s="35" t="s">
        <v>1465</v>
      </c>
      <c r="C99" s="35" t="s">
        <v>733</v>
      </c>
      <c r="D99" s="35" t="s">
        <v>1237</v>
      </c>
      <c r="E99" s="45" t="s">
        <v>1414</v>
      </c>
      <c r="F99" s="18">
        <v>85</v>
      </c>
      <c r="G99" s="19">
        <v>85</v>
      </c>
      <c r="H99" s="19">
        <v>91</v>
      </c>
      <c r="I99" s="36">
        <f t="shared" si="3"/>
        <v>86</v>
      </c>
      <c r="J99" s="35" t="s">
        <v>1235</v>
      </c>
      <c r="K99" s="46" t="s">
        <v>850</v>
      </c>
    </row>
    <row r="100" spans="1:11" ht="33.950000000000003" customHeight="1" x14ac:dyDescent="0.25">
      <c r="A100" s="31">
        <v>99</v>
      </c>
      <c r="B100" s="31" t="s">
        <v>1466</v>
      </c>
      <c r="C100" s="31" t="s">
        <v>18</v>
      </c>
      <c r="D100" s="31" t="s">
        <v>1237</v>
      </c>
      <c r="E100" s="45" t="s">
        <v>1414</v>
      </c>
      <c r="F100" s="32">
        <v>85</v>
      </c>
      <c r="G100" s="33">
        <v>85</v>
      </c>
      <c r="H100" s="33">
        <v>91</v>
      </c>
      <c r="I100" s="34">
        <f t="shared" si="3"/>
        <v>86</v>
      </c>
      <c r="J100" s="31" t="s">
        <v>1235</v>
      </c>
      <c r="K100" s="46" t="s">
        <v>850</v>
      </c>
    </row>
    <row r="101" spans="1:11" ht="33.950000000000003" customHeight="1" x14ac:dyDescent="0.25">
      <c r="A101" s="35">
        <v>100</v>
      </c>
      <c r="B101" s="35" t="s">
        <v>1467</v>
      </c>
      <c r="C101" s="35" t="s">
        <v>18</v>
      </c>
      <c r="D101" s="35" t="s">
        <v>1468</v>
      </c>
      <c r="E101" s="45" t="s">
        <v>1469</v>
      </c>
      <c r="F101" s="18">
        <v>85</v>
      </c>
      <c r="G101" s="19">
        <v>85</v>
      </c>
      <c r="H101" s="19">
        <v>91</v>
      </c>
      <c r="I101" s="36">
        <f t="shared" si="3"/>
        <v>86</v>
      </c>
      <c r="J101" s="35" t="s">
        <v>1235</v>
      </c>
      <c r="K101" s="46" t="s">
        <v>850</v>
      </c>
    </row>
    <row r="102" spans="1:11" ht="33.950000000000003" customHeight="1" x14ac:dyDescent="0.25">
      <c r="A102" s="31">
        <v>101</v>
      </c>
      <c r="B102" s="31" t="s">
        <v>1470</v>
      </c>
      <c r="C102" s="31" t="s">
        <v>122</v>
      </c>
      <c r="D102" s="31" t="s">
        <v>1240</v>
      </c>
      <c r="E102" s="45" t="s">
        <v>1471</v>
      </c>
      <c r="F102" s="32">
        <v>84</v>
      </c>
      <c r="G102" s="33">
        <v>84</v>
      </c>
      <c r="H102" s="33">
        <v>90</v>
      </c>
      <c r="I102" s="34">
        <f t="shared" si="3"/>
        <v>85</v>
      </c>
      <c r="J102" s="31" t="s">
        <v>1235</v>
      </c>
      <c r="K102" s="46" t="s">
        <v>850</v>
      </c>
    </row>
    <row r="103" spans="1:11" ht="33.950000000000003" customHeight="1" x14ac:dyDescent="0.25">
      <c r="A103" s="35">
        <v>102</v>
      </c>
      <c r="B103" s="35" t="s">
        <v>1472</v>
      </c>
      <c r="C103" s="35" t="s">
        <v>23</v>
      </c>
      <c r="D103" s="35" t="s">
        <v>1240</v>
      </c>
      <c r="E103" s="45" t="s">
        <v>1471</v>
      </c>
      <c r="F103" s="18">
        <v>84</v>
      </c>
      <c r="G103" s="19">
        <v>84</v>
      </c>
      <c r="H103" s="19">
        <v>90</v>
      </c>
      <c r="I103" s="36">
        <f t="shared" si="3"/>
        <v>85</v>
      </c>
      <c r="J103" s="35" t="s">
        <v>1235</v>
      </c>
      <c r="K103" s="46" t="s">
        <v>850</v>
      </c>
    </row>
    <row r="104" spans="1:11" ht="33.950000000000003" customHeight="1" x14ac:dyDescent="0.25">
      <c r="A104" s="31">
        <v>103</v>
      </c>
      <c r="B104" s="31" t="s">
        <v>1473</v>
      </c>
      <c r="C104" s="31" t="s">
        <v>62</v>
      </c>
      <c r="D104" s="31" t="s">
        <v>1240</v>
      </c>
      <c r="E104" s="45" t="s">
        <v>1471</v>
      </c>
      <c r="F104" s="32">
        <v>84</v>
      </c>
      <c r="G104" s="33">
        <v>84</v>
      </c>
      <c r="H104" s="33">
        <v>90</v>
      </c>
      <c r="I104" s="34">
        <f t="shared" si="3"/>
        <v>85</v>
      </c>
      <c r="J104" s="31" t="s">
        <v>1235</v>
      </c>
      <c r="K104" s="46" t="s">
        <v>850</v>
      </c>
    </row>
    <row r="105" spans="1:11" ht="33.950000000000003" customHeight="1" x14ac:dyDescent="0.25">
      <c r="A105" s="35">
        <v>104</v>
      </c>
      <c r="B105" s="35" t="s">
        <v>1474</v>
      </c>
      <c r="C105" s="35" t="s">
        <v>238</v>
      </c>
      <c r="D105" s="35" t="s">
        <v>1475</v>
      </c>
      <c r="E105" s="45" t="s">
        <v>1476</v>
      </c>
      <c r="F105" s="18">
        <v>84</v>
      </c>
      <c r="G105" s="19">
        <v>84</v>
      </c>
      <c r="H105" s="19">
        <v>90</v>
      </c>
      <c r="I105" s="36">
        <f t="shared" si="3"/>
        <v>85</v>
      </c>
      <c r="J105" s="35" t="s">
        <v>1235</v>
      </c>
      <c r="K105" s="46" t="s">
        <v>850</v>
      </c>
    </row>
    <row r="106" spans="1:11" ht="33.950000000000003" customHeight="1" x14ac:dyDescent="0.25">
      <c r="A106" s="31">
        <v>105</v>
      </c>
      <c r="B106" s="31" t="s">
        <v>1477</v>
      </c>
      <c r="C106" s="31" t="s">
        <v>549</v>
      </c>
      <c r="D106" s="31" t="s">
        <v>1478</v>
      </c>
      <c r="E106" s="45" t="s">
        <v>1479</v>
      </c>
      <c r="F106" s="32">
        <v>84</v>
      </c>
      <c r="G106" s="33">
        <v>84</v>
      </c>
      <c r="H106" s="33">
        <v>90</v>
      </c>
      <c r="I106" s="34">
        <f t="shared" si="3"/>
        <v>85</v>
      </c>
      <c r="J106" s="31" t="s">
        <v>1235</v>
      </c>
      <c r="K106" s="46" t="s">
        <v>850</v>
      </c>
    </row>
    <row r="107" spans="1:11" ht="33.950000000000003" customHeight="1" x14ac:dyDescent="0.25">
      <c r="A107" s="35">
        <v>106</v>
      </c>
      <c r="B107" s="35" t="s">
        <v>317</v>
      </c>
      <c r="C107" s="35" t="s">
        <v>959</v>
      </c>
      <c r="D107" s="35" t="s">
        <v>1436</v>
      </c>
      <c r="E107" s="45" t="s">
        <v>1437</v>
      </c>
      <c r="F107" s="18">
        <v>84</v>
      </c>
      <c r="G107" s="19">
        <v>84</v>
      </c>
      <c r="H107" s="19">
        <v>90</v>
      </c>
      <c r="I107" s="36">
        <f t="shared" si="3"/>
        <v>85</v>
      </c>
      <c r="J107" s="35" t="s">
        <v>1235</v>
      </c>
      <c r="K107" s="46" t="s">
        <v>850</v>
      </c>
    </row>
    <row r="108" spans="1:11" ht="33.950000000000003" customHeight="1" x14ac:dyDescent="0.25">
      <c r="A108" s="31">
        <v>107</v>
      </c>
      <c r="B108" s="31" t="s">
        <v>1480</v>
      </c>
      <c r="C108" s="31" t="s">
        <v>113</v>
      </c>
      <c r="D108" s="31" t="s">
        <v>1250</v>
      </c>
      <c r="E108" s="45" t="s">
        <v>1330</v>
      </c>
      <c r="F108" s="32">
        <v>84</v>
      </c>
      <c r="G108" s="33">
        <v>84</v>
      </c>
      <c r="H108" s="33">
        <v>90</v>
      </c>
      <c r="I108" s="34">
        <f t="shared" si="3"/>
        <v>85</v>
      </c>
      <c r="J108" s="31" t="s">
        <v>1235</v>
      </c>
      <c r="K108" s="46" t="s">
        <v>850</v>
      </c>
    </row>
    <row r="109" spans="1:11" ht="33.950000000000003" customHeight="1" x14ac:dyDescent="0.25">
      <c r="A109" s="35">
        <v>108</v>
      </c>
      <c r="B109" s="35" t="s">
        <v>1481</v>
      </c>
      <c r="C109" s="35" t="s">
        <v>225</v>
      </c>
      <c r="D109" s="35" t="s">
        <v>1317</v>
      </c>
      <c r="E109" s="45" t="s">
        <v>1482</v>
      </c>
      <c r="F109" s="18">
        <v>84</v>
      </c>
      <c r="G109" s="19">
        <v>84</v>
      </c>
      <c r="H109" s="19">
        <v>90</v>
      </c>
      <c r="I109" s="36">
        <f t="shared" si="3"/>
        <v>85</v>
      </c>
      <c r="J109" s="35" t="s">
        <v>1235</v>
      </c>
      <c r="K109" s="46" t="s">
        <v>850</v>
      </c>
    </row>
    <row r="110" spans="1:11" ht="33.950000000000003" customHeight="1" x14ac:dyDescent="0.25">
      <c r="A110" s="31">
        <v>109</v>
      </c>
      <c r="B110" s="31" t="s">
        <v>1483</v>
      </c>
      <c r="C110" s="31" t="s">
        <v>37</v>
      </c>
      <c r="D110" s="31" t="s">
        <v>1484</v>
      </c>
      <c r="E110" s="45" t="s">
        <v>1485</v>
      </c>
      <c r="F110" s="32">
        <v>84</v>
      </c>
      <c r="G110" s="33">
        <v>84</v>
      </c>
      <c r="H110" s="33">
        <v>90</v>
      </c>
      <c r="I110" s="34">
        <f t="shared" si="3"/>
        <v>85</v>
      </c>
      <c r="J110" s="31" t="s">
        <v>1235</v>
      </c>
      <c r="K110" s="46" t="s">
        <v>850</v>
      </c>
    </row>
    <row r="111" spans="1:11" ht="33.950000000000003" customHeight="1" x14ac:dyDescent="0.25">
      <c r="A111" s="35">
        <v>110</v>
      </c>
      <c r="B111" s="35" t="s">
        <v>1486</v>
      </c>
      <c r="C111" s="35" t="s">
        <v>62</v>
      </c>
      <c r="D111" s="35" t="s">
        <v>1487</v>
      </c>
      <c r="E111" s="45" t="s">
        <v>1488</v>
      </c>
      <c r="F111" s="18">
        <v>84</v>
      </c>
      <c r="G111" s="19">
        <v>84</v>
      </c>
      <c r="H111" s="19">
        <v>90</v>
      </c>
      <c r="I111" s="36">
        <f t="shared" si="3"/>
        <v>85</v>
      </c>
      <c r="J111" s="35" t="s">
        <v>1235</v>
      </c>
      <c r="K111" s="46" t="s">
        <v>850</v>
      </c>
    </row>
    <row r="112" spans="1:11" ht="33.950000000000003" customHeight="1" x14ac:dyDescent="0.25">
      <c r="A112" s="31">
        <v>111</v>
      </c>
      <c r="B112" s="31" t="s">
        <v>1489</v>
      </c>
      <c r="C112" s="31" t="s">
        <v>37</v>
      </c>
      <c r="D112" s="31" t="s">
        <v>1490</v>
      </c>
      <c r="E112" s="45" t="s">
        <v>1491</v>
      </c>
      <c r="F112" s="32">
        <v>84</v>
      </c>
      <c r="G112" s="33">
        <v>84</v>
      </c>
      <c r="H112" s="33">
        <v>90</v>
      </c>
      <c r="I112" s="34">
        <f t="shared" si="3"/>
        <v>85</v>
      </c>
      <c r="J112" s="31" t="s">
        <v>1235</v>
      </c>
      <c r="K112" s="46" t="s">
        <v>850</v>
      </c>
    </row>
    <row r="113" spans="1:11" ht="33.950000000000003" customHeight="1" x14ac:dyDescent="0.25">
      <c r="A113" s="35">
        <v>112</v>
      </c>
      <c r="B113" s="35" t="s">
        <v>1492</v>
      </c>
      <c r="C113" s="35" t="s">
        <v>96</v>
      </c>
      <c r="D113" s="35" t="s">
        <v>1493</v>
      </c>
      <c r="E113" s="45" t="s">
        <v>1494</v>
      </c>
      <c r="F113" s="18">
        <v>84</v>
      </c>
      <c r="G113" s="19">
        <v>84</v>
      </c>
      <c r="H113" s="19">
        <v>90</v>
      </c>
      <c r="I113" s="36">
        <f t="shared" si="3"/>
        <v>85</v>
      </c>
      <c r="J113" s="35" t="s">
        <v>1235</v>
      </c>
      <c r="K113" s="46" t="s">
        <v>850</v>
      </c>
    </row>
    <row r="114" spans="1:11" ht="33.950000000000003" customHeight="1" x14ac:dyDescent="0.25">
      <c r="A114" s="31">
        <v>113</v>
      </c>
      <c r="B114" s="31" t="s">
        <v>1495</v>
      </c>
      <c r="C114" s="31" t="s">
        <v>18</v>
      </c>
      <c r="D114" s="31" t="s">
        <v>1496</v>
      </c>
      <c r="E114" s="45" t="s">
        <v>1497</v>
      </c>
      <c r="F114" s="32">
        <v>84</v>
      </c>
      <c r="G114" s="33">
        <v>84</v>
      </c>
      <c r="H114" s="33">
        <v>90</v>
      </c>
      <c r="I114" s="34">
        <f t="shared" si="3"/>
        <v>85</v>
      </c>
      <c r="J114" s="31" t="s">
        <v>1235</v>
      </c>
      <c r="K114" s="46" t="s">
        <v>850</v>
      </c>
    </row>
    <row r="115" spans="1:11" ht="33.950000000000003" customHeight="1" x14ac:dyDescent="0.25">
      <c r="A115" s="35">
        <v>114</v>
      </c>
      <c r="B115" s="35" t="s">
        <v>1498</v>
      </c>
      <c r="C115" s="35" t="s">
        <v>1499</v>
      </c>
      <c r="D115" s="35" t="s">
        <v>1500</v>
      </c>
      <c r="E115" s="45" t="s">
        <v>1501</v>
      </c>
      <c r="F115" s="18">
        <v>84</v>
      </c>
      <c r="G115" s="19">
        <v>84</v>
      </c>
      <c r="H115" s="19">
        <v>90</v>
      </c>
      <c r="I115" s="36">
        <f t="shared" si="3"/>
        <v>85</v>
      </c>
      <c r="J115" s="35" t="s">
        <v>1235</v>
      </c>
      <c r="K115" s="46" t="s">
        <v>850</v>
      </c>
    </row>
    <row r="116" spans="1:11" ht="33.950000000000003" customHeight="1" x14ac:dyDescent="0.25">
      <c r="A116" s="31">
        <v>115</v>
      </c>
      <c r="B116" s="31" t="s">
        <v>1502</v>
      </c>
      <c r="C116" s="31" t="s">
        <v>62</v>
      </c>
      <c r="D116" s="31" t="s">
        <v>1503</v>
      </c>
      <c r="E116" s="45" t="s">
        <v>1504</v>
      </c>
      <c r="F116" s="32">
        <v>84</v>
      </c>
      <c r="G116" s="33">
        <v>84</v>
      </c>
      <c r="H116" s="33">
        <v>90</v>
      </c>
      <c r="I116" s="34">
        <f t="shared" si="3"/>
        <v>85</v>
      </c>
      <c r="J116" s="31" t="s">
        <v>1235</v>
      </c>
      <c r="K116" s="46" t="s">
        <v>850</v>
      </c>
    </row>
    <row r="117" spans="1:11" ht="33.950000000000003" customHeight="1" x14ac:dyDescent="0.25">
      <c r="A117" s="35">
        <v>116</v>
      </c>
      <c r="B117" s="35" t="s">
        <v>1505</v>
      </c>
      <c r="C117" s="35" t="s">
        <v>62</v>
      </c>
      <c r="D117" s="35" t="s">
        <v>1506</v>
      </c>
      <c r="E117" s="45" t="s">
        <v>1507</v>
      </c>
      <c r="F117" s="18">
        <v>84</v>
      </c>
      <c r="G117" s="19">
        <v>84</v>
      </c>
      <c r="H117" s="19">
        <v>90</v>
      </c>
      <c r="I117" s="36">
        <f t="shared" si="3"/>
        <v>85</v>
      </c>
      <c r="J117" s="35" t="s">
        <v>1235</v>
      </c>
      <c r="K117" s="46" t="s">
        <v>850</v>
      </c>
    </row>
    <row r="118" spans="1:11" ht="33.950000000000003" customHeight="1" x14ac:dyDescent="0.25">
      <c r="A118" s="31">
        <v>117</v>
      </c>
      <c r="B118" s="31" t="s">
        <v>1508</v>
      </c>
      <c r="C118" s="31" t="s">
        <v>37</v>
      </c>
      <c r="D118" s="31" t="s">
        <v>1509</v>
      </c>
      <c r="E118" s="45" t="s">
        <v>1510</v>
      </c>
      <c r="F118" s="32">
        <v>84</v>
      </c>
      <c r="G118" s="33">
        <v>84</v>
      </c>
      <c r="H118" s="33">
        <v>90</v>
      </c>
      <c r="I118" s="34">
        <f t="shared" si="3"/>
        <v>85</v>
      </c>
      <c r="J118" s="31" t="s">
        <v>1235</v>
      </c>
      <c r="K118" s="46" t="s">
        <v>850</v>
      </c>
    </row>
    <row r="119" spans="1:11" ht="33.950000000000003" customHeight="1" x14ac:dyDescent="0.25">
      <c r="A119" s="35">
        <v>118</v>
      </c>
      <c r="B119" s="35" t="s">
        <v>1511</v>
      </c>
      <c r="C119" s="35" t="s">
        <v>18</v>
      </c>
      <c r="D119" s="35" t="s">
        <v>1512</v>
      </c>
      <c r="E119" s="45" t="s">
        <v>1513</v>
      </c>
      <c r="F119" s="18">
        <v>83</v>
      </c>
      <c r="G119" s="19">
        <v>83</v>
      </c>
      <c r="H119" s="19">
        <v>89</v>
      </c>
      <c r="I119" s="36">
        <f t="shared" si="3"/>
        <v>84</v>
      </c>
      <c r="J119" s="35" t="s">
        <v>1235</v>
      </c>
      <c r="K119" s="46" t="s">
        <v>850</v>
      </c>
    </row>
    <row r="120" spans="1:11" ht="33.950000000000003" customHeight="1" x14ac:dyDescent="0.25">
      <c r="A120" s="31">
        <v>119</v>
      </c>
      <c r="B120" s="31" t="s">
        <v>1514</v>
      </c>
      <c r="C120" s="31" t="s">
        <v>18</v>
      </c>
      <c r="D120" s="31" t="s">
        <v>1285</v>
      </c>
      <c r="E120" s="45" t="s">
        <v>1286</v>
      </c>
      <c r="F120" s="32">
        <v>83</v>
      </c>
      <c r="G120" s="33">
        <v>83</v>
      </c>
      <c r="H120" s="33">
        <v>89</v>
      </c>
      <c r="I120" s="34">
        <f t="shared" si="3"/>
        <v>84</v>
      </c>
      <c r="J120" s="31" t="s">
        <v>1235</v>
      </c>
      <c r="K120" s="46" t="s">
        <v>850</v>
      </c>
    </row>
    <row r="121" spans="1:11" ht="33.950000000000003" customHeight="1" x14ac:dyDescent="0.25">
      <c r="A121" s="35">
        <v>120</v>
      </c>
      <c r="B121" s="35" t="s">
        <v>1171</v>
      </c>
      <c r="C121" s="35" t="s">
        <v>28</v>
      </c>
      <c r="D121" s="35" t="s">
        <v>1427</v>
      </c>
      <c r="E121" s="45" t="s">
        <v>1428</v>
      </c>
      <c r="F121" s="18">
        <v>83</v>
      </c>
      <c r="G121" s="19">
        <v>83</v>
      </c>
      <c r="H121" s="19">
        <v>89</v>
      </c>
      <c r="I121" s="36">
        <f t="shared" si="3"/>
        <v>84</v>
      </c>
      <c r="J121" s="35" t="s">
        <v>1235</v>
      </c>
      <c r="K121" s="46" t="s">
        <v>850</v>
      </c>
    </row>
    <row r="122" spans="1:11" ht="33.950000000000003" customHeight="1" x14ac:dyDescent="0.25">
      <c r="A122" s="31">
        <v>121</v>
      </c>
      <c r="B122" s="31" t="s">
        <v>1515</v>
      </c>
      <c r="C122" s="31" t="s">
        <v>37</v>
      </c>
      <c r="D122" s="31" t="s">
        <v>1237</v>
      </c>
      <c r="E122" s="45" t="s">
        <v>1414</v>
      </c>
      <c r="F122" s="32">
        <v>83</v>
      </c>
      <c r="G122" s="33">
        <v>83</v>
      </c>
      <c r="H122" s="33">
        <v>89</v>
      </c>
      <c r="I122" s="34">
        <f t="shared" si="3"/>
        <v>84</v>
      </c>
      <c r="J122" s="31" t="s">
        <v>1235</v>
      </c>
      <c r="K122" s="46" t="s">
        <v>850</v>
      </c>
    </row>
    <row r="123" spans="1:11" ht="33.950000000000003" customHeight="1" x14ac:dyDescent="0.25">
      <c r="A123" s="35">
        <v>122</v>
      </c>
      <c r="B123" s="35" t="s">
        <v>1516</v>
      </c>
      <c r="C123" s="35" t="s">
        <v>238</v>
      </c>
      <c r="D123" s="35" t="s">
        <v>1517</v>
      </c>
      <c r="E123" s="45" t="s">
        <v>1518</v>
      </c>
      <c r="F123" s="18">
        <v>83</v>
      </c>
      <c r="G123" s="19">
        <v>83</v>
      </c>
      <c r="H123" s="19">
        <v>89</v>
      </c>
      <c r="I123" s="36">
        <f t="shared" si="3"/>
        <v>84</v>
      </c>
      <c r="J123" s="35" t="s">
        <v>1235</v>
      </c>
      <c r="K123" s="46" t="s">
        <v>850</v>
      </c>
    </row>
    <row r="124" spans="1:11" ht="33.950000000000003" customHeight="1" x14ac:dyDescent="0.25">
      <c r="A124" s="31">
        <v>123</v>
      </c>
      <c r="B124" s="31" t="s">
        <v>1519</v>
      </c>
      <c r="C124" s="31" t="s">
        <v>62</v>
      </c>
      <c r="D124" s="31" t="s">
        <v>1237</v>
      </c>
      <c r="E124" s="45" t="s">
        <v>1414</v>
      </c>
      <c r="F124" s="32">
        <v>83</v>
      </c>
      <c r="G124" s="33">
        <v>83</v>
      </c>
      <c r="H124" s="33">
        <v>89</v>
      </c>
      <c r="I124" s="34">
        <f t="shared" si="3"/>
        <v>84</v>
      </c>
      <c r="J124" s="31" t="s">
        <v>1235</v>
      </c>
      <c r="K124" s="46" t="s">
        <v>850</v>
      </c>
    </row>
    <row r="125" spans="1:11" ht="33.950000000000003" customHeight="1" x14ac:dyDescent="0.25">
      <c r="A125" s="35">
        <v>124</v>
      </c>
      <c r="B125" s="35" t="s">
        <v>1520</v>
      </c>
      <c r="C125" s="35" t="s">
        <v>225</v>
      </c>
      <c r="D125" s="35" t="s">
        <v>1291</v>
      </c>
      <c r="E125" s="45" t="s">
        <v>1521</v>
      </c>
      <c r="F125" s="18">
        <v>83</v>
      </c>
      <c r="G125" s="19">
        <v>83</v>
      </c>
      <c r="H125" s="19">
        <v>89</v>
      </c>
      <c r="I125" s="36">
        <f t="shared" si="3"/>
        <v>84</v>
      </c>
      <c r="J125" s="35" t="s">
        <v>1235</v>
      </c>
      <c r="K125" s="46" t="s">
        <v>850</v>
      </c>
    </row>
    <row r="126" spans="1:11" ht="33.950000000000003" customHeight="1" x14ac:dyDescent="0.25">
      <c r="A126" s="31">
        <v>125</v>
      </c>
      <c r="B126" s="31" t="s">
        <v>1522</v>
      </c>
      <c r="C126" s="31" t="s">
        <v>96</v>
      </c>
      <c r="D126" s="31" t="s">
        <v>1237</v>
      </c>
      <c r="E126" s="45" t="s">
        <v>1414</v>
      </c>
      <c r="F126" s="32">
        <v>83</v>
      </c>
      <c r="G126" s="33">
        <v>83</v>
      </c>
      <c r="H126" s="33">
        <v>89</v>
      </c>
      <c r="I126" s="34">
        <f t="shared" si="3"/>
        <v>84</v>
      </c>
      <c r="J126" s="31" t="s">
        <v>1235</v>
      </c>
      <c r="K126" s="46" t="s">
        <v>850</v>
      </c>
    </row>
    <row r="127" spans="1:11" ht="33.950000000000003" customHeight="1" x14ac:dyDescent="0.25">
      <c r="A127" s="35">
        <v>126</v>
      </c>
      <c r="B127" s="35" t="s">
        <v>1523</v>
      </c>
      <c r="C127" s="35" t="s">
        <v>96</v>
      </c>
      <c r="D127" s="35" t="s">
        <v>1524</v>
      </c>
      <c r="E127" s="45" t="s">
        <v>1525</v>
      </c>
      <c r="F127" s="18">
        <v>83</v>
      </c>
      <c r="G127" s="19">
        <v>83</v>
      </c>
      <c r="H127" s="19">
        <v>89</v>
      </c>
      <c r="I127" s="36">
        <f t="shared" si="3"/>
        <v>84</v>
      </c>
      <c r="J127" s="35" t="s">
        <v>1235</v>
      </c>
      <c r="K127" s="46" t="s">
        <v>850</v>
      </c>
    </row>
    <row r="128" spans="1:11" ht="33.950000000000003" customHeight="1" x14ac:dyDescent="0.25">
      <c r="A128" s="31">
        <v>127</v>
      </c>
      <c r="B128" s="31" t="s">
        <v>1526</v>
      </c>
      <c r="C128" s="31" t="s">
        <v>62</v>
      </c>
      <c r="D128" s="31" t="s">
        <v>1237</v>
      </c>
      <c r="E128" s="45" t="s">
        <v>1414</v>
      </c>
      <c r="F128" s="32">
        <v>83</v>
      </c>
      <c r="G128" s="33">
        <v>83</v>
      </c>
      <c r="H128" s="33">
        <v>89</v>
      </c>
      <c r="I128" s="34">
        <f t="shared" si="3"/>
        <v>84</v>
      </c>
      <c r="J128" s="31" t="s">
        <v>1235</v>
      </c>
      <c r="K128" s="46" t="s">
        <v>850</v>
      </c>
    </row>
    <row r="129" spans="1:11" ht="33.950000000000003" customHeight="1" x14ac:dyDescent="0.25">
      <c r="A129" s="35">
        <v>128</v>
      </c>
      <c r="B129" s="35" t="s">
        <v>1527</v>
      </c>
      <c r="C129" s="35" t="s">
        <v>122</v>
      </c>
      <c r="D129" s="35" t="s">
        <v>1528</v>
      </c>
      <c r="E129" s="45" t="s">
        <v>1529</v>
      </c>
      <c r="F129" s="18">
        <v>83</v>
      </c>
      <c r="G129" s="19">
        <v>83</v>
      </c>
      <c r="H129" s="19">
        <v>89</v>
      </c>
      <c r="I129" s="36">
        <f t="shared" si="3"/>
        <v>84</v>
      </c>
      <c r="J129" s="35" t="s">
        <v>1235</v>
      </c>
      <c r="K129" s="46" t="s">
        <v>850</v>
      </c>
    </row>
    <row r="130" spans="1:11" ht="33.950000000000003" customHeight="1" x14ac:dyDescent="0.25">
      <c r="A130" s="31">
        <v>129</v>
      </c>
      <c r="B130" s="31" t="s">
        <v>1530</v>
      </c>
      <c r="C130" s="31" t="s">
        <v>137</v>
      </c>
      <c r="D130" s="31" t="s">
        <v>1531</v>
      </c>
      <c r="E130" s="45" t="s">
        <v>1532</v>
      </c>
      <c r="F130" s="32">
        <v>83</v>
      </c>
      <c r="G130" s="33">
        <v>83</v>
      </c>
      <c r="H130" s="33">
        <v>89</v>
      </c>
      <c r="I130" s="34">
        <f t="shared" ref="I130:I161" si="4">ROUND(F130*0.55+G130*0.3+H130*0.15,0)</f>
        <v>84</v>
      </c>
      <c r="J130" s="31" t="s">
        <v>1235</v>
      </c>
      <c r="K130" s="46" t="s">
        <v>850</v>
      </c>
    </row>
    <row r="131" spans="1:11" ht="33.950000000000003" customHeight="1" x14ac:dyDescent="0.25">
      <c r="A131" s="35">
        <v>130</v>
      </c>
      <c r="B131" s="35" t="s">
        <v>1533</v>
      </c>
      <c r="C131" s="35" t="s">
        <v>1193</v>
      </c>
      <c r="D131" s="35" t="s">
        <v>1237</v>
      </c>
      <c r="E131" s="45" t="s">
        <v>1414</v>
      </c>
      <c r="F131" s="18">
        <v>83</v>
      </c>
      <c r="G131" s="19">
        <v>83</v>
      </c>
      <c r="H131" s="19">
        <v>89</v>
      </c>
      <c r="I131" s="36">
        <f t="shared" si="4"/>
        <v>84</v>
      </c>
      <c r="J131" s="35" t="s">
        <v>1235</v>
      </c>
      <c r="K131" s="46" t="s">
        <v>850</v>
      </c>
    </row>
    <row r="132" spans="1:11" ht="33.950000000000003" customHeight="1" x14ac:dyDescent="0.25">
      <c r="A132" s="31">
        <v>131</v>
      </c>
      <c r="B132" s="31" t="s">
        <v>1534</v>
      </c>
      <c r="C132" s="31" t="s">
        <v>938</v>
      </c>
      <c r="D132" s="31" t="s">
        <v>1237</v>
      </c>
      <c r="E132" s="45" t="s">
        <v>1414</v>
      </c>
      <c r="F132" s="32">
        <v>83</v>
      </c>
      <c r="G132" s="33">
        <v>83</v>
      </c>
      <c r="H132" s="33">
        <v>89</v>
      </c>
      <c r="I132" s="34">
        <f t="shared" si="4"/>
        <v>84</v>
      </c>
      <c r="J132" s="31" t="s">
        <v>1235</v>
      </c>
      <c r="K132" s="46" t="s">
        <v>850</v>
      </c>
    </row>
    <row r="133" spans="1:11" ht="33.950000000000003" customHeight="1" x14ac:dyDescent="0.25">
      <c r="A133" s="35">
        <v>132</v>
      </c>
      <c r="B133" s="35" t="s">
        <v>1535</v>
      </c>
      <c r="C133" s="35" t="s">
        <v>18</v>
      </c>
      <c r="D133" s="35" t="s">
        <v>1237</v>
      </c>
      <c r="E133" s="45" t="s">
        <v>1414</v>
      </c>
      <c r="F133" s="18">
        <v>83</v>
      </c>
      <c r="G133" s="19">
        <v>83</v>
      </c>
      <c r="H133" s="19">
        <v>89</v>
      </c>
      <c r="I133" s="36">
        <f t="shared" si="4"/>
        <v>84</v>
      </c>
      <c r="J133" s="35" t="s">
        <v>1235</v>
      </c>
      <c r="K133" s="46" t="s">
        <v>850</v>
      </c>
    </row>
    <row r="134" spans="1:11" ht="33.950000000000003" customHeight="1" x14ac:dyDescent="0.25">
      <c r="A134" s="31">
        <v>133</v>
      </c>
      <c r="B134" s="31" t="s">
        <v>1536</v>
      </c>
      <c r="C134" s="31" t="s">
        <v>380</v>
      </c>
      <c r="D134" s="31" t="s">
        <v>1237</v>
      </c>
      <c r="E134" s="45" t="s">
        <v>1414</v>
      </c>
      <c r="F134" s="32">
        <v>83</v>
      </c>
      <c r="G134" s="33">
        <v>83</v>
      </c>
      <c r="H134" s="33">
        <v>89</v>
      </c>
      <c r="I134" s="34">
        <f t="shared" si="4"/>
        <v>84</v>
      </c>
      <c r="J134" s="31" t="s">
        <v>1235</v>
      </c>
      <c r="K134" s="46" t="s">
        <v>850</v>
      </c>
    </row>
    <row r="135" spans="1:11" ht="33.950000000000003" customHeight="1" x14ac:dyDescent="0.25">
      <c r="A135" s="35">
        <v>134</v>
      </c>
      <c r="B135" s="35" t="s">
        <v>1537</v>
      </c>
      <c r="C135" s="35" t="s">
        <v>37</v>
      </c>
      <c r="D135" s="35" t="s">
        <v>1538</v>
      </c>
      <c r="E135" s="45" t="s">
        <v>1539</v>
      </c>
      <c r="F135" s="18">
        <v>83</v>
      </c>
      <c r="G135" s="19">
        <v>83</v>
      </c>
      <c r="H135" s="19">
        <v>89</v>
      </c>
      <c r="I135" s="36">
        <f t="shared" si="4"/>
        <v>84</v>
      </c>
      <c r="J135" s="35" t="s">
        <v>1235</v>
      </c>
      <c r="K135" s="46" t="s">
        <v>850</v>
      </c>
    </row>
    <row r="136" spans="1:11" ht="33.950000000000003" customHeight="1" x14ac:dyDescent="0.25">
      <c r="A136" s="31">
        <v>135</v>
      </c>
      <c r="B136" s="31" t="s">
        <v>1540</v>
      </c>
      <c r="C136" s="31" t="s">
        <v>238</v>
      </c>
      <c r="D136" s="31" t="s">
        <v>1538</v>
      </c>
      <c r="E136" s="45" t="s">
        <v>1539</v>
      </c>
      <c r="F136" s="32">
        <v>82</v>
      </c>
      <c r="G136" s="33">
        <v>82</v>
      </c>
      <c r="H136" s="33">
        <v>88</v>
      </c>
      <c r="I136" s="34">
        <f t="shared" si="4"/>
        <v>83</v>
      </c>
      <c r="J136" s="31" t="s">
        <v>1235</v>
      </c>
      <c r="K136" s="46" t="s">
        <v>850</v>
      </c>
    </row>
    <row r="137" spans="1:11" ht="33.950000000000003" customHeight="1" x14ac:dyDescent="0.25">
      <c r="A137" s="35">
        <v>136</v>
      </c>
      <c r="B137" s="35" t="s">
        <v>1541</v>
      </c>
      <c r="C137" s="35" t="s">
        <v>18</v>
      </c>
      <c r="D137" s="35" t="s">
        <v>1538</v>
      </c>
      <c r="E137" s="45" t="s">
        <v>1539</v>
      </c>
      <c r="F137" s="18">
        <v>82</v>
      </c>
      <c r="G137" s="19">
        <v>82</v>
      </c>
      <c r="H137" s="19">
        <v>88</v>
      </c>
      <c r="I137" s="36">
        <f t="shared" si="4"/>
        <v>83</v>
      </c>
      <c r="J137" s="35" t="s">
        <v>1235</v>
      </c>
      <c r="K137" s="46" t="s">
        <v>850</v>
      </c>
    </row>
    <row r="138" spans="1:11" ht="33.950000000000003" customHeight="1" x14ac:dyDescent="0.25">
      <c r="A138" s="31">
        <v>137</v>
      </c>
      <c r="B138" s="31" t="s">
        <v>1542</v>
      </c>
      <c r="C138" s="31" t="s">
        <v>18</v>
      </c>
      <c r="D138" s="31" t="s">
        <v>1317</v>
      </c>
      <c r="E138" s="45" t="s">
        <v>1482</v>
      </c>
      <c r="F138" s="32">
        <v>82</v>
      </c>
      <c r="G138" s="33">
        <v>82</v>
      </c>
      <c r="H138" s="33">
        <v>88</v>
      </c>
      <c r="I138" s="34">
        <f t="shared" si="4"/>
        <v>83</v>
      </c>
      <c r="J138" s="31" t="s">
        <v>1235</v>
      </c>
      <c r="K138" s="46" t="s">
        <v>850</v>
      </c>
    </row>
    <row r="139" spans="1:11" ht="33.950000000000003" customHeight="1" x14ac:dyDescent="0.25">
      <c r="A139" s="35">
        <v>138</v>
      </c>
      <c r="B139" s="35" t="s">
        <v>1543</v>
      </c>
      <c r="C139" s="35" t="s">
        <v>1066</v>
      </c>
      <c r="D139" s="35" t="s">
        <v>1544</v>
      </c>
      <c r="E139" s="45" t="s">
        <v>1545</v>
      </c>
      <c r="F139" s="18">
        <v>82</v>
      </c>
      <c r="G139" s="19">
        <v>82</v>
      </c>
      <c r="H139" s="19">
        <v>88</v>
      </c>
      <c r="I139" s="36">
        <f t="shared" si="4"/>
        <v>83</v>
      </c>
      <c r="J139" s="35" t="s">
        <v>1235</v>
      </c>
      <c r="K139" s="46" t="s">
        <v>850</v>
      </c>
    </row>
    <row r="140" spans="1:11" ht="33.950000000000003" customHeight="1" x14ac:dyDescent="0.25">
      <c r="A140" s="31">
        <v>139</v>
      </c>
      <c r="B140" s="31" t="s">
        <v>1546</v>
      </c>
      <c r="C140" s="31" t="s">
        <v>28</v>
      </c>
      <c r="D140" s="31" t="s">
        <v>1547</v>
      </c>
      <c r="E140" s="45" t="s">
        <v>1548</v>
      </c>
      <c r="F140" s="32">
        <v>82</v>
      </c>
      <c r="G140" s="33">
        <v>82</v>
      </c>
      <c r="H140" s="33">
        <v>88</v>
      </c>
      <c r="I140" s="34">
        <f t="shared" si="4"/>
        <v>83</v>
      </c>
      <c r="J140" s="31" t="s">
        <v>1235</v>
      </c>
      <c r="K140" s="46" t="s">
        <v>850</v>
      </c>
    </row>
    <row r="141" spans="1:11" ht="33.950000000000003" customHeight="1" x14ac:dyDescent="0.25">
      <c r="A141" s="35">
        <v>140</v>
      </c>
      <c r="B141" s="35" t="s">
        <v>1549</v>
      </c>
      <c r="C141" s="35" t="s">
        <v>62</v>
      </c>
      <c r="D141" s="35" t="s">
        <v>1550</v>
      </c>
      <c r="E141" s="45" t="s">
        <v>1551</v>
      </c>
      <c r="F141" s="18">
        <v>82</v>
      </c>
      <c r="G141" s="19">
        <v>82</v>
      </c>
      <c r="H141" s="19">
        <v>88</v>
      </c>
      <c r="I141" s="36">
        <f t="shared" si="4"/>
        <v>83</v>
      </c>
      <c r="J141" s="35" t="s">
        <v>1235</v>
      </c>
      <c r="K141" s="46" t="s">
        <v>850</v>
      </c>
    </row>
    <row r="142" spans="1:11" ht="33.950000000000003" customHeight="1" x14ac:dyDescent="0.25">
      <c r="A142" s="31">
        <v>141</v>
      </c>
      <c r="B142" s="31" t="s">
        <v>1552</v>
      </c>
      <c r="C142" s="31" t="s">
        <v>1553</v>
      </c>
      <c r="D142" s="31" t="s">
        <v>1285</v>
      </c>
      <c r="E142" s="45" t="s">
        <v>1286</v>
      </c>
      <c r="F142" s="32">
        <v>82</v>
      </c>
      <c r="G142" s="33">
        <v>82</v>
      </c>
      <c r="H142" s="33">
        <v>88</v>
      </c>
      <c r="I142" s="34">
        <f t="shared" si="4"/>
        <v>83</v>
      </c>
      <c r="J142" s="31" t="s">
        <v>1235</v>
      </c>
      <c r="K142" s="46" t="s">
        <v>850</v>
      </c>
    </row>
    <row r="143" spans="1:11" ht="33.950000000000003" customHeight="1" x14ac:dyDescent="0.25">
      <c r="A143" s="35">
        <v>142</v>
      </c>
      <c r="B143" s="35" t="s">
        <v>467</v>
      </c>
      <c r="C143" s="35" t="s">
        <v>18</v>
      </c>
      <c r="D143" s="35" t="s">
        <v>1554</v>
      </c>
      <c r="E143" s="45" t="s">
        <v>1555</v>
      </c>
      <c r="F143" s="18">
        <v>82</v>
      </c>
      <c r="G143" s="19">
        <v>82</v>
      </c>
      <c r="H143" s="19">
        <v>88</v>
      </c>
      <c r="I143" s="36">
        <f t="shared" si="4"/>
        <v>83</v>
      </c>
      <c r="J143" s="35" t="s">
        <v>1235</v>
      </c>
      <c r="K143" s="46" t="s">
        <v>850</v>
      </c>
    </row>
    <row r="144" spans="1:11" ht="33.950000000000003" customHeight="1" x14ac:dyDescent="0.25">
      <c r="A144" s="31">
        <v>143</v>
      </c>
      <c r="B144" s="31" t="s">
        <v>1556</v>
      </c>
      <c r="C144" s="31" t="s">
        <v>37</v>
      </c>
      <c r="D144" s="31" t="s">
        <v>1557</v>
      </c>
      <c r="E144" s="45" t="s">
        <v>1558</v>
      </c>
      <c r="F144" s="32">
        <v>82</v>
      </c>
      <c r="G144" s="33">
        <v>82</v>
      </c>
      <c r="H144" s="33">
        <v>88</v>
      </c>
      <c r="I144" s="34">
        <f t="shared" si="4"/>
        <v>83</v>
      </c>
      <c r="J144" s="31" t="s">
        <v>1235</v>
      </c>
      <c r="K144" s="46" t="s">
        <v>850</v>
      </c>
    </row>
    <row r="145" spans="1:11" ht="33.950000000000003" customHeight="1" x14ac:dyDescent="0.25">
      <c r="A145" s="35">
        <v>144</v>
      </c>
      <c r="B145" s="35" t="s">
        <v>1559</v>
      </c>
      <c r="C145" s="35" t="s">
        <v>122</v>
      </c>
      <c r="D145" s="35" t="s">
        <v>1285</v>
      </c>
      <c r="E145" s="45" t="s">
        <v>1286</v>
      </c>
      <c r="F145" s="18">
        <v>82</v>
      </c>
      <c r="G145" s="19">
        <v>82</v>
      </c>
      <c r="H145" s="19">
        <v>88</v>
      </c>
      <c r="I145" s="36">
        <f t="shared" si="4"/>
        <v>83</v>
      </c>
      <c r="J145" s="35" t="s">
        <v>1235</v>
      </c>
      <c r="K145" s="46" t="s">
        <v>850</v>
      </c>
    </row>
    <row r="146" spans="1:11" ht="33.950000000000003" customHeight="1" x14ac:dyDescent="0.25">
      <c r="A146" s="31">
        <v>145</v>
      </c>
      <c r="B146" s="31" t="s">
        <v>1560</v>
      </c>
      <c r="C146" s="31" t="s">
        <v>62</v>
      </c>
      <c r="D146" s="31" t="s">
        <v>1561</v>
      </c>
      <c r="E146" s="45" t="s">
        <v>1562</v>
      </c>
      <c r="F146" s="32">
        <v>82</v>
      </c>
      <c r="G146" s="33">
        <v>82</v>
      </c>
      <c r="H146" s="33">
        <v>88</v>
      </c>
      <c r="I146" s="34">
        <f t="shared" si="4"/>
        <v>83</v>
      </c>
      <c r="J146" s="31" t="s">
        <v>1235</v>
      </c>
      <c r="K146" s="46" t="s">
        <v>850</v>
      </c>
    </row>
    <row r="147" spans="1:11" ht="33.950000000000003" customHeight="1" x14ac:dyDescent="0.25">
      <c r="A147" s="35">
        <v>146</v>
      </c>
      <c r="B147" s="35" t="s">
        <v>1563</v>
      </c>
      <c r="C147" s="35" t="s">
        <v>80</v>
      </c>
      <c r="D147" s="35" t="s">
        <v>1564</v>
      </c>
      <c r="E147" s="45" t="s">
        <v>1565</v>
      </c>
      <c r="F147" s="18">
        <v>82</v>
      </c>
      <c r="G147" s="19">
        <v>82</v>
      </c>
      <c r="H147" s="19">
        <v>88</v>
      </c>
      <c r="I147" s="36">
        <f t="shared" si="4"/>
        <v>83</v>
      </c>
      <c r="J147" s="35" t="s">
        <v>1235</v>
      </c>
      <c r="K147" s="46" t="s">
        <v>850</v>
      </c>
    </row>
    <row r="148" spans="1:11" ht="33.950000000000003" customHeight="1" x14ac:dyDescent="0.25">
      <c r="A148" s="31">
        <v>147</v>
      </c>
      <c r="B148" s="31" t="s">
        <v>1566</v>
      </c>
      <c r="C148" s="31" t="s">
        <v>18</v>
      </c>
      <c r="D148" s="31" t="s">
        <v>1422</v>
      </c>
      <c r="E148" s="45" t="s">
        <v>1423</v>
      </c>
      <c r="F148" s="32">
        <v>82</v>
      </c>
      <c r="G148" s="33">
        <v>82</v>
      </c>
      <c r="H148" s="33">
        <v>88</v>
      </c>
      <c r="I148" s="34">
        <f t="shared" si="4"/>
        <v>83</v>
      </c>
      <c r="J148" s="31" t="s">
        <v>1235</v>
      </c>
      <c r="K148" s="46" t="s">
        <v>850</v>
      </c>
    </row>
    <row r="149" spans="1:11" ht="33.950000000000003" customHeight="1" x14ac:dyDescent="0.25">
      <c r="A149" s="35">
        <v>148</v>
      </c>
      <c r="B149" s="35" t="s">
        <v>1567</v>
      </c>
      <c r="C149" s="35" t="s">
        <v>28</v>
      </c>
      <c r="D149" s="35" t="s">
        <v>1568</v>
      </c>
      <c r="E149" s="45" t="s">
        <v>1569</v>
      </c>
      <c r="F149" s="18">
        <v>82</v>
      </c>
      <c r="G149" s="19">
        <v>82</v>
      </c>
      <c r="H149" s="19">
        <v>88</v>
      </c>
      <c r="I149" s="36">
        <f t="shared" si="4"/>
        <v>83</v>
      </c>
      <c r="J149" s="35" t="s">
        <v>1235</v>
      </c>
      <c r="K149" s="46" t="s">
        <v>850</v>
      </c>
    </row>
    <row r="150" spans="1:11" ht="33.950000000000003" customHeight="1" x14ac:dyDescent="0.25">
      <c r="A150" s="31">
        <v>149</v>
      </c>
      <c r="B150" s="31" t="s">
        <v>1570</v>
      </c>
      <c r="C150" s="31" t="s">
        <v>37</v>
      </c>
      <c r="D150" s="31" t="s">
        <v>1571</v>
      </c>
      <c r="E150" s="45" t="s">
        <v>1572</v>
      </c>
      <c r="F150" s="32">
        <v>82</v>
      </c>
      <c r="G150" s="33">
        <v>82</v>
      </c>
      <c r="H150" s="33">
        <v>88</v>
      </c>
      <c r="I150" s="34">
        <f t="shared" si="4"/>
        <v>83</v>
      </c>
      <c r="J150" s="31" t="s">
        <v>1235</v>
      </c>
      <c r="K150" s="46" t="s">
        <v>850</v>
      </c>
    </row>
    <row r="151" spans="1:11" ht="33.950000000000003" customHeight="1" x14ac:dyDescent="0.25">
      <c r="A151" s="35">
        <v>150</v>
      </c>
      <c r="B151" s="35" t="s">
        <v>22</v>
      </c>
      <c r="C151" s="35" t="s">
        <v>23</v>
      </c>
      <c r="D151" s="35" t="s">
        <v>1573</v>
      </c>
      <c r="E151" s="44" t="s">
        <v>1574</v>
      </c>
      <c r="F151" s="18">
        <v>82</v>
      </c>
      <c r="G151" s="19">
        <v>82</v>
      </c>
      <c r="H151" s="19">
        <v>88</v>
      </c>
      <c r="I151" s="36">
        <f t="shared" si="4"/>
        <v>83</v>
      </c>
      <c r="J151" s="35" t="s">
        <v>1235</v>
      </c>
      <c r="K151" s="43" t="s">
        <v>16</v>
      </c>
    </row>
    <row r="152" spans="1:11" ht="33.950000000000003" customHeight="1" x14ac:dyDescent="0.25">
      <c r="A152" s="31">
        <v>151</v>
      </c>
      <c r="B152" s="31" t="s">
        <v>168</v>
      </c>
      <c r="C152" s="31" t="s">
        <v>96</v>
      </c>
      <c r="D152" s="31" t="s">
        <v>1240</v>
      </c>
      <c r="E152" s="44" t="s">
        <v>1575</v>
      </c>
      <c r="F152" s="32">
        <v>81</v>
      </c>
      <c r="G152" s="33">
        <v>81</v>
      </c>
      <c r="H152" s="33">
        <v>87</v>
      </c>
      <c r="I152" s="34">
        <f t="shared" si="4"/>
        <v>82</v>
      </c>
      <c r="J152" s="31" t="s">
        <v>1235</v>
      </c>
      <c r="K152" s="43" t="s">
        <v>16</v>
      </c>
    </row>
    <row r="153" spans="1:11" ht="33.950000000000003" customHeight="1" x14ac:dyDescent="0.25">
      <c r="A153" s="35">
        <v>152</v>
      </c>
      <c r="B153" s="35" t="s">
        <v>1576</v>
      </c>
      <c r="C153" s="35" t="s">
        <v>62</v>
      </c>
      <c r="D153" s="35" t="s">
        <v>1240</v>
      </c>
      <c r="E153" s="45" t="s">
        <v>1471</v>
      </c>
      <c r="F153" s="18">
        <v>81</v>
      </c>
      <c r="G153" s="19">
        <v>81</v>
      </c>
      <c r="H153" s="19">
        <v>87</v>
      </c>
      <c r="I153" s="36">
        <f t="shared" si="4"/>
        <v>82</v>
      </c>
      <c r="J153" s="35" t="s">
        <v>1235</v>
      </c>
      <c r="K153" s="46" t="s">
        <v>850</v>
      </c>
    </row>
    <row r="154" spans="1:11" ht="33.950000000000003" customHeight="1" x14ac:dyDescent="0.25">
      <c r="A154" s="31">
        <v>153</v>
      </c>
      <c r="B154" s="31" t="s">
        <v>1577</v>
      </c>
      <c r="C154" s="31" t="s">
        <v>96</v>
      </c>
      <c r="D154" s="31" t="s">
        <v>1578</v>
      </c>
      <c r="E154" s="45" t="s">
        <v>1579</v>
      </c>
      <c r="F154" s="32">
        <v>81</v>
      </c>
      <c r="G154" s="33">
        <v>81</v>
      </c>
      <c r="H154" s="33">
        <v>87</v>
      </c>
      <c r="I154" s="34">
        <f t="shared" si="4"/>
        <v>82</v>
      </c>
      <c r="J154" s="31" t="s">
        <v>1235</v>
      </c>
      <c r="K154" s="46" t="s">
        <v>850</v>
      </c>
    </row>
    <row r="155" spans="1:11" ht="33.950000000000003" customHeight="1" x14ac:dyDescent="0.25">
      <c r="A155" s="35">
        <v>154</v>
      </c>
      <c r="B155" s="35" t="s">
        <v>1580</v>
      </c>
      <c r="C155" s="35" t="s">
        <v>80</v>
      </c>
      <c r="D155" s="35" t="s">
        <v>1581</v>
      </c>
      <c r="E155" s="45" t="s">
        <v>1582</v>
      </c>
      <c r="F155" s="18">
        <v>81</v>
      </c>
      <c r="G155" s="19">
        <v>81</v>
      </c>
      <c r="H155" s="19">
        <v>87</v>
      </c>
      <c r="I155" s="36">
        <f t="shared" si="4"/>
        <v>82</v>
      </c>
      <c r="J155" s="35" t="s">
        <v>1235</v>
      </c>
      <c r="K155" s="46" t="s">
        <v>850</v>
      </c>
    </row>
    <row r="156" spans="1:11" ht="33.950000000000003" customHeight="1" x14ac:dyDescent="0.25">
      <c r="A156" s="31">
        <v>155</v>
      </c>
      <c r="B156" s="31" t="s">
        <v>1583</v>
      </c>
      <c r="C156" s="31" t="s">
        <v>18</v>
      </c>
      <c r="D156" s="31" t="s">
        <v>1240</v>
      </c>
      <c r="E156" s="45" t="s">
        <v>1471</v>
      </c>
      <c r="F156" s="32">
        <v>81</v>
      </c>
      <c r="G156" s="33">
        <v>81</v>
      </c>
      <c r="H156" s="33">
        <v>87</v>
      </c>
      <c r="I156" s="34">
        <f t="shared" si="4"/>
        <v>82</v>
      </c>
      <c r="J156" s="31" t="s">
        <v>1235</v>
      </c>
      <c r="K156" s="46" t="s">
        <v>850</v>
      </c>
    </row>
    <row r="157" spans="1:11" ht="33.950000000000003" customHeight="1" x14ac:dyDescent="0.25">
      <c r="A157" s="35">
        <v>156</v>
      </c>
      <c r="B157" s="35" t="s">
        <v>1584</v>
      </c>
      <c r="C157" s="35" t="s">
        <v>84</v>
      </c>
      <c r="D157" s="35" t="s">
        <v>1585</v>
      </c>
      <c r="E157" s="45" t="s">
        <v>1586</v>
      </c>
      <c r="F157" s="18">
        <v>81</v>
      </c>
      <c r="G157" s="19">
        <v>81</v>
      </c>
      <c r="H157" s="19">
        <v>87</v>
      </c>
      <c r="I157" s="36">
        <f t="shared" si="4"/>
        <v>82</v>
      </c>
      <c r="J157" s="35" t="s">
        <v>1235</v>
      </c>
      <c r="K157" s="46" t="s">
        <v>850</v>
      </c>
    </row>
    <row r="158" spans="1:11" ht="33.950000000000003" customHeight="1" x14ac:dyDescent="0.25">
      <c r="A158" s="31">
        <v>157</v>
      </c>
      <c r="B158" s="31" t="s">
        <v>1587</v>
      </c>
      <c r="C158" s="31" t="s">
        <v>96</v>
      </c>
      <c r="D158" s="31" t="s">
        <v>1588</v>
      </c>
      <c r="E158" s="45" t="s">
        <v>1589</v>
      </c>
      <c r="F158" s="32">
        <v>81</v>
      </c>
      <c r="G158" s="33">
        <v>81</v>
      </c>
      <c r="H158" s="33">
        <v>87</v>
      </c>
      <c r="I158" s="34">
        <f t="shared" si="4"/>
        <v>82</v>
      </c>
      <c r="J158" s="31" t="s">
        <v>1235</v>
      </c>
      <c r="K158" s="46" t="s">
        <v>850</v>
      </c>
    </row>
    <row r="159" spans="1:11" ht="33.950000000000003" customHeight="1" x14ac:dyDescent="0.25">
      <c r="A159" s="35">
        <v>158</v>
      </c>
      <c r="B159" s="35" t="s">
        <v>1590</v>
      </c>
      <c r="C159" s="35" t="s">
        <v>37</v>
      </c>
      <c r="D159" s="35" t="s">
        <v>1591</v>
      </c>
      <c r="E159" s="45" t="s">
        <v>1592</v>
      </c>
      <c r="F159" s="18">
        <v>81</v>
      </c>
      <c r="G159" s="19">
        <v>81</v>
      </c>
      <c r="H159" s="19">
        <v>87</v>
      </c>
      <c r="I159" s="36">
        <f t="shared" si="4"/>
        <v>82</v>
      </c>
      <c r="J159" s="35" t="s">
        <v>1235</v>
      </c>
      <c r="K159" s="46" t="s">
        <v>850</v>
      </c>
    </row>
    <row r="160" spans="1:11" ht="33.950000000000003" customHeight="1" x14ac:dyDescent="0.25">
      <c r="A160" s="31">
        <v>159</v>
      </c>
      <c r="B160" s="31" t="s">
        <v>1593</v>
      </c>
      <c r="C160" s="31" t="s">
        <v>18</v>
      </c>
      <c r="D160" s="31" t="s">
        <v>1594</v>
      </c>
      <c r="E160" s="45" t="s">
        <v>1595</v>
      </c>
      <c r="F160" s="32">
        <v>81</v>
      </c>
      <c r="G160" s="33">
        <v>81</v>
      </c>
      <c r="H160" s="33">
        <v>87</v>
      </c>
      <c r="I160" s="34">
        <f t="shared" si="4"/>
        <v>82</v>
      </c>
      <c r="J160" s="31" t="s">
        <v>1235</v>
      </c>
      <c r="K160" s="46" t="s">
        <v>850</v>
      </c>
    </row>
    <row r="161" spans="1:11" ht="33.950000000000003" customHeight="1" x14ac:dyDescent="0.25">
      <c r="A161" s="35">
        <v>160</v>
      </c>
      <c r="B161" s="35" t="s">
        <v>1596</v>
      </c>
      <c r="C161" s="35" t="s">
        <v>37</v>
      </c>
      <c r="D161" s="35" t="s">
        <v>1597</v>
      </c>
      <c r="E161" s="45" t="s">
        <v>1598</v>
      </c>
      <c r="F161" s="18">
        <v>81</v>
      </c>
      <c r="G161" s="19">
        <v>81</v>
      </c>
      <c r="H161" s="19">
        <v>87</v>
      </c>
      <c r="I161" s="36">
        <f t="shared" si="4"/>
        <v>82</v>
      </c>
      <c r="J161" s="35" t="s">
        <v>1235</v>
      </c>
      <c r="K161" s="46" t="s">
        <v>850</v>
      </c>
    </row>
    <row r="162" spans="1:11" ht="33.950000000000003" customHeight="1" x14ac:dyDescent="0.25">
      <c r="A162" s="31">
        <v>161</v>
      </c>
      <c r="B162" s="31" t="s">
        <v>1599</v>
      </c>
      <c r="C162" s="31" t="s">
        <v>18</v>
      </c>
      <c r="D162" s="31" t="s">
        <v>1600</v>
      </c>
      <c r="E162" s="45" t="s">
        <v>1601</v>
      </c>
      <c r="F162" s="32">
        <v>81</v>
      </c>
      <c r="G162" s="33">
        <v>81</v>
      </c>
      <c r="H162" s="33">
        <v>87</v>
      </c>
      <c r="I162" s="34">
        <f t="shared" ref="I162:I193" si="5">ROUND(F162*0.55+G162*0.3+H162*0.15,0)</f>
        <v>82</v>
      </c>
      <c r="J162" s="31" t="s">
        <v>1235</v>
      </c>
      <c r="K162" s="46" t="s">
        <v>850</v>
      </c>
    </row>
    <row r="163" spans="1:11" ht="33.950000000000003" customHeight="1" x14ac:dyDescent="0.25">
      <c r="A163" s="35">
        <v>162</v>
      </c>
      <c r="B163" s="35" t="s">
        <v>1602</v>
      </c>
      <c r="C163" s="35" t="s">
        <v>733</v>
      </c>
      <c r="D163" s="35" t="s">
        <v>1603</v>
      </c>
      <c r="E163" s="45" t="s">
        <v>1604</v>
      </c>
      <c r="F163" s="18">
        <v>81</v>
      </c>
      <c r="G163" s="19">
        <v>81</v>
      </c>
      <c r="H163" s="19">
        <v>87</v>
      </c>
      <c r="I163" s="36">
        <f t="shared" si="5"/>
        <v>82</v>
      </c>
      <c r="J163" s="35" t="s">
        <v>1235</v>
      </c>
      <c r="K163" s="46" t="s">
        <v>850</v>
      </c>
    </row>
    <row r="164" spans="1:11" ht="33.950000000000003" customHeight="1" x14ac:dyDescent="0.25">
      <c r="A164" s="31">
        <v>163</v>
      </c>
      <c r="B164" s="31" t="s">
        <v>1605</v>
      </c>
      <c r="C164" s="31" t="s">
        <v>37</v>
      </c>
      <c r="D164" s="31" t="s">
        <v>1603</v>
      </c>
      <c r="E164" s="45" t="s">
        <v>1604</v>
      </c>
      <c r="F164" s="32">
        <v>81</v>
      </c>
      <c r="G164" s="33">
        <v>81</v>
      </c>
      <c r="H164" s="33">
        <v>87</v>
      </c>
      <c r="I164" s="34">
        <f t="shared" si="5"/>
        <v>82</v>
      </c>
      <c r="J164" s="31" t="s">
        <v>1235</v>
      </c>
      <c r="K164" s="46" t="s">
        <v>850</v>
      </c>
    </row>
    <row r="165" spans="1:11" ht="33.950000000000003" customHeight="1" x14ac:dyDescent="0.25">
      <c r="A165" s="35">
        <v>164</v>
      </c>
      <c r="B165" s="35" t="s">
        <v>1606</v>
      </c>
      <c r="C165" s="35" t="s">
        <v>18</v>
      </c>
      <c r="D165" s="35" t="s">
        <v>1607</v>
      </c>
      <c r="E165" s="45" t="s">
        <v>1608</v>
      </c>
      <c r="F165" s="18">
        <v>81</v>
      </c>
      <c r="G165" s="19">
        <v>81</v>
      </c>
      <c r="H165" s="19">
        <v>87</v>
      </c>
      <c r="I165" s="36">
        <f t="shared" si="5"/>
        <v>82</v>
      </c>
      <c r="J165" s="35" t="s">
        <v>1235</v>
      </c>
      <c r="K165" s="46" t="s">
        <v>850</v>
      </c>
    </row>
    <row r="166" spans="1:11" ht="33.950000000000003" customHeight="1" x14ac:dyDescent="0.25">
      <c r="A166" s="31">
        <v>165</v>
      </c>
      <c r="B166" s="31" t="s">
        <v>1609</v>
      </c>
      <c r="C166" s="31" t="s">
        <v>18</v>
      </c>
      <c r="D166" s="31" t="s">
        <v>1610</v>
      </c>
      <c r="E166" s="45" t="s">
        <v>1611</v>
      </c>
      <c r="F166" s="32">
        <v>81</v>
      </c>
      <c r="G166" s="33">
        <v>81</v>
      </c>
      <c r="H166" s="33">
        <v>87</v>
      </c>
      <c r="I166" s="34">
        <f t="shared" si="5"/>
        <v>82</v>
      </c>
      <c r="J166" s="31" t="s">
        <v>1235</v>
      </c>
      <c r="K166" s="46" t="s">
        <v>850</v>
      </c>
    </row>
    <row r="167" spans="1:11" ht="33.950000000000003" customHeight="1" x14ac:dyDescent="0.25">
      <c r="A167" s="35">
        <v>166</v>
      </c>
      <c r="B167" s="35" t="s">
        <v>1612</v>
      </c>
      <c r="C167" s="35" t="s">
        <v>23</v>
      </c>
      <c r="D167" s="35" t="s">
        <v>1613</v>
      </c>
      <c r="E167" s="45" t="s">
        <v>1614</v>
      </c>
      <c r="F167" s="18">
        <v>81</v>
      </c>
      <c r="G167" s="19">
        <v>81</v>
      </c>
      <c r="H167" s="19">
        <v>87</v>
      </c>
      <c r="I167" s="36">
        <f t="shared" si="5"/>
        <v>82</v>
      </c>
      <c r="J167" s="35" t="s">
        <v>1235</v>
      </c>
      <c r="K167" s="46" t="s">
        <v>850</v>
      </c>
    </row>
    <row r="168" spans="1:11" ht="33.950000000000003" customHeight="1" x14ac:dyDescent="0.25">
      <c r="A168" s="31">
        <v>167</v>
      </c>
      <c r="B168" s="31" t="s">
        <v>1615</v>
      </c>
      <c r="C168" s="31" t="s">
        <v>238</v>
      </c>
      <c r="D168" s="31" t="s">
        <v>1616</v>
      </c>
      <c r="E168" s="45" t="s">
        <v>1617</v>
      </c>
      <c r="F168" s="32">
        <v>81</v>
      </c>
      <c r="G168" s="33">
        <v>81</v>
      </c>
      <c r="H168" s="33">
        <v>87</v>
      </c>
      <c r="I168" s="34">
        <f t="shared" si="5"/>
        <v>82</v>
      </c>
      <c r="J168" s="31" t="s">
        <v>1235</v>
      </c>
      <c r="K168" s="46" t="s">
        <v>850</v>
      </c>
    </row>
    <row r="169" spans="1:11" ht="33.950000000000003" customHeight="1" x14ac:dyDescent="0.25">
      <c r="A169" s="35">
        <v>168</v>
      </c>
      <c r="B169" s="35" t="s">
        <v>1618</v>
      </c>
      <c r="C169" s="35" t="s">
        <v>18</v>
      </c>
      <c r="D169" s="35" t="s">
        <v>1619</v>
      </c>
      <c r="E169" s="45" t="s">
        <v>1620</v>
      </c>
      <c r="F169" s="18">
        <v>81</v>
      </c>
      <c r="G169" s="19">
        <v>81</v>
      </c>
      <c r="H169" s="19">
        <v>87</v>
      </c>
      <c r="I169" s="36">
        <f t="shared" si="5"/>
        <v>82</v>
      </c>
      <c r="J169" s="35" t="s">
        <v>1235</v>
      </c>
      <c r="K169" s="46" t="s">
        <v>850</v>
      </c>
    </row>
    <row r="170" spans="1:11" ht="33.950000000000003" customHeight="1" x14ac:dyDescent="0.25">
      <c r="A170" s="31">
        <v>169</v>
      </c>
      <c r="B170" s="31" t="s">
        <v>1621</v>
      </c>
      <c r="C170" s="31" t="s">
        <v>18</v>
      </c>
      <c r="D170" s="31" t="s">
        <v>1622</v>
      </c>
      <c r="E170" s="45" t="s">
        <v>1623</v>
      </c>
      <c r="F170" s="32">
        <v>81</v>
      </c>
      <c r="G170" s="33">
        <v>81</v>
      </c>
      <c r="H170" s="33">
        <v>87</v>
      </c>
      <c r="I170" s="34">
        <f t="shared" si="5"/>
        <v>82</v>
      </c>
      <c r="J170" s="31" t="s">
        <v>1235</v>
      </c>
      <c r="K170" s="46" t="s">
        <v>850</v>
      </c>
    </row>
    <row r="171" spans="1:11" ht="33.950000000000003" customHeight="1" x14ac:dyDescent="0.25">
      <c r="A171" s="35">
        <v>170</v>
      </c>
      <c r="B171" s="35" t="s">
        <v>1624</v>
      </c>
      <c r="C171" s="35" t="s">
        <v>18</v>
      </c>
      <c r="D171" s="35" t="s">
        <v>1299</v>
      </c>
      <c r="E171" s="45" t="s">
        <v>1300</v>
      </c>
      <c r="F171" s="18">
        <v>81</v>
      </c>
      <c r="G171" s="19">
        <v>81</v>
      </c>
      <c r="H171" s="19">
        <v>87</v>
      </c>
      <c r="I171" s="36">
        <f t="shared" si="5"/>
        <v>82</v>
      </c>
      <c r="J171" s="35" t="s">
        <v>1235</v>
      </c>
      <c r="K171" s="46" t="s">
        <v>850</v>
      </c>
    </row>
    <row r="172" spans="1:11" ht="33.950000000000003" customHeight="1" x14ac:dyDescent="0.25">
      <c r="A172" s="31">
        <v>171</v>
      </c>
      <c r="B172" s="31" t="s">
        <v>1625</v>
      </c>
      <c r="C172" s="31" t="s">
        <v>122</v>
      </c>
      <c r="D172" s="31" t="s">
        <v>1626</v>
      </c>
      <c r="E172" s="45" t="s">
        <v>1627</v>
      </c>
      <c r="F172" s="32">
        <v>80</v>
      </c>
      <c r="G172" s="33">
        <v>80</v>
      </c>
      <c r="H172" s="33">
        <v>86</v>
      </c>
      <c r="I172" s="34">
        <f t="shared" si="5"/>
        <v>81</v>
      </c>
      <c r="J172" s="31" t="s">
        <v>1235</v>
      </c>
      <c r="K172" s="46" t="s">
        <v>850</v>
      </c>
    </row>
    <row r="173" spans="1:11" ht="33.950000000000003" customHeight="1" x14ac:dyDescent="0.25">
      <c r="A173" s="35">
        <v>172</v>
      </c>
      <c r="B173" s="35" t="s">
        <v>1628</v>
      </c>
      <c r="C173" s="35" t="s">
        <v>105</v>
      </c>
      <c r="D173" s="35" t="s">
        <v>1237</v>
      </c>
      <c r="E173" s="45" t="s">
        <v>1414</v>
      </c>
      <c r="F173" s="18">
        <v>80</v>
      </c>
      <c r="G173" s="19">
        <v>80</v>
      </c>
      <c r="H173" s="19">
        <v>86</v>
      </c>
      <c r="I173" s="36">
        <f t="shared" si="5"/>
        <v>81</v>
      </c>
      <c r="J173" s="35" t="s">
        <v>1235</v>
      </c>
      <c r="K173" s="46" t="s">
        <v>850</v>
      </c>
    </row>
    <row r="174" spans="1:11" ht="33.950000000000003" customHeight="1" x14ac:dyDescent="0.25">
      <c r="A174" s="31">
        <v>173</v>
      </c>
      <c r="B174" s="31" t="s">
        <v>1629</v>
      </c>
      <c r="C174" s="31" t="s">
        <v>113</v>
      </c>
      <c r="D174" s="31" t="s">
        <v>1237</v>
      </c>
      <c r="E174" s="45" t="s">
        <v>1414</v>
      </c>
      <c r="F174" s="32">
        <v>80</v>
      </c>
      <c r="G174" s="33">
        <v>80</v>
      </c>
      <c r="H174" s="33">
        <v>86</v>
      </c>
      <c r="I174" s="34">
        <f t="shared" si="5"/>
        <v>81</v>
      </c>
      <c r="J174" s="31" t="s">
        <v>1235</v>
      </c>
      <c r="K174" s="46" t="s">
        <v>850</v>
      </c>
    </row>
    <row r="175" spans="1:11" ht="33.950000000000003" customHeight="1" x14ac:dyDescent="0.25">
      <c r="A175" s="35">
        <v>174</v>
      </c>
      <c r="B175" s="35" t="s">
        <v>1630</v>
      </c>
      <c r="C175" s="35" t="s">
        <v>96</v>
      </c>
      <c r="D175" s="35" t="s">
        <v>1237</v>
      </c>
      <c r="E175" s="45" t="s">
        <v>1414</v>
      </c>
      <c r="F175" s="18">
        <v>80</v>
      </c>
      <c r="G175" s="19">
        <v>80</v>
      </c>
      <c r="H175" s="19">
        <v>86</v>
      </c>
      <c r="I175" s="36">
        <f t="shared" si="5"/>
        <v>81</v>
      </c>
      <c r="J175" s="35" t="s">
        <v>1235</v>
      </c>
      <c r="K175" s="46" t="s">
        <v>850</v>
      </c>
    </row>
    <row r="176" spans="1:11" ht="33.950000000000003" customHeight="1" x14ac:dyDescent="0.25">
      <c r="A176" s="31">
        <v>175</v>
      </c>
      <c r="B176" s="31" t="s">
        <v>1631</v>
      </c>
      <c r="C176" s="31" t="s">
        <v>1632</v>
      </c>
      <c r="D176" s="31" t="s">
        <v>1633</v>
      </c>
      <c r="E176" s="45" t="s">
        <v>1634</v>
      </c>
      <c r="F176" s="32">
        <v>80</v>
      </c>
      <c r="G176" s="33">
        <v>80</v>
      </c>
      <c r="H176" s="33">
        <v>86</v>
      </c>
      <c r="I176" s="34">
        <f t="shared" si="5"/>
        <v>81</v>
      </c>
      <c r="J176" s="31" t="s">
        <v>1235</v>
      </c>
      <c r="K176" s="46" t="s">
        <v>850</v>
      </c>
    </row>
    <row r="177" spans="1:11" ht="33.950000000000003" customHeight="1" x14ac:dyDescent="0.25">
      <c r="A177" s="35">
        <v>176</v>
      </c>
      <c r="B177" s="35" t="s">
        <v>1635</v>
      </c>
      <c r="C177" s="35" t="s">
        <v>62</v>
      </c>
      <c r="D177" s="35" t="s">
        <v>1636</v>
      </c>
      <c r="E177" s="45" t="s">
        <v>1637</v>
      </c>
      <c r="F177" s="18">
        <v>80</v>
      </c>
      <c r="G177" s="19">
        <v>80</v>
      </c>
      <c r="H177" s="19">
        <v>86</v>
      </c>
      <c r="I177" s="36">
        <f t="shared" si="5"/>
        <v>81</v>
      </c>
      <c r="J177" s="35" t="s">
        <v>1235</v>
      </c>
      <c r="K177" s="46" t="s">
        <v>850</v>
      </c>
    </row>
    <row r="178" spans="1:11" ht="33.950000000000003" customHeight="1" x14ac:dyDescent="0.25">
      <c r="A178" s="31">
        <v>177</v>
      </c>
      <c r="B178" s="31" t="s">
        <v>1638</v>
      </c>
      <c r="C178" s="31" t="s">
        <v>96</v>
      </c>
      <c r="D178" s="31" t="s">
        <v>1639</v>
      </c>
      <c r="E178" s="45" t="s">
        <v>1640</v>
      </c>
      <c r="F178" s="32">
        <v>80</v>
      </c>
      <c r="G178" s="33">
        <v>80</v>
      </c>
      <c r="H178" s="33">
        <v>86</v>
      </c>
      <c r="I178" s="34">
        <f t="shared" si="5"/>
        <v>81</v>
      </c>
      <c r="J178" s="31" t="s">
        <v>1235</v>
      </c>
      <c r="K178" s="46" t="s">
        <v>850</v>
      </c>
    </row>
    <row r="179" spans="1:11" ht="33.950000000000003" customHeight="1" x14ac:dyDescent="0.25">
      <c r="A179" s="35">
        <v>178</v>
      </c>
      <c r="B179" s="35" t="s">
        <v>1641</v>
      </c>
      <c r="C179" s="35" t="s">
        <v>62</v>
      </c>
      <c r="D179" s="35" t="s">
        <v>1642</v>
      </c>
      <c r="E179" s="45" t="s">
        <v>1643</v>
      </c>
      <c r="F179" s="18">
        <v>80</v>
      </c>
      <c r="G179" s="19">
        <v>80</v>
      </c>
      <c r="H179" s="19">
        <v>86</v>
      </c>
      <c r="I179" s="36">
        <f t="shared" si="5"/>
        <v>81</v>
      </c>
      <c r="J179" s="35" t="s">
        <v>1235</v>
      </c>
      <c r="K179" s="46" t="s">
        <v>850</v>
      </c>
    </row>
    <row r="180" spans="1:11" ht="33.950000000000003" customHeight="1" x14ac:dyDescent="0.25">
      <c r="A180" s="31">
        <v>179</v>
      </c>
      <c r="B180" s="31" t="s">
        <v>1644</v>
      </c>
      <c r="C180" s="31" t="s">
        <v>357</v>
      </c>
      <c r="D180" s="31" t="s">
        <v>1645</v>
      </c>
      <c r="E180" s="45" t="s">
        <v>1646</v>
      </c>
      <c r="F180" s="32">
        <v>80</v>
      </c>
      <c r="G180" s="33">
        <v>80</v>
      </c>
      <c r="H180" s="33">
        <v>86</v>
      </c>
      <c r="I180" s="34">
        <f t="shared" si="5"/>
        <v>81</v>
      </c>
      <c r="J180" s="31" t="s">
        <v>1235</v>
      </c>
      <c r="K180" s="46" t="s">
        <v>850</v>
      </c>
    </row>
    <row r="181" spans="1:11" ht="33.950000000000003" customHeight="1" x14ac:dyDescent="0.25">
      <c r="A181" s="35">
        <v>180</v>
      </c>
      <c r="B181" s="35" t="s">
        <v>1223</v>
      </c>
      <c r="C181" s="35" t="s">
        <v>1224</v>
      </c>
      <c r="D181" s="35" t="s">
        <v>1647</v>
      </c>
      <c r="E181" s="45" t="s">
        <v>1648</v>
      </c>
      <c r="F181" s="18">
        <v>80</v>
      </c>
      <c r="G181" s="19">
        <v>80</v>
      </c>
      <c r="H181" s="19">
        <v>86</v>
      </c>
      <c r="I181" s="36">
        <f t="shared" si="5"/>
        <v>81</v>
      </c>
      <c r="J181" s="35" t="s">
        <v>1235</v>
      </c>
      <c r="K181" s="46" t="s">
        <v>850</v>
      </c>
    </row>
    <row r="182" spans="1:11" ht="33.950000000000003" customHeight="1" x14ac:dyDescent="0.25">
      <c r="A182" s="31">
        <v>181</v>
      </c>
      <c r="B182" s="31" t="s">
        <v>1649</v>
      </c>
      <c r="C182" s="31" t="s">
        <v>380</v>
      </c>
      <c r="D182" s="31" t="s">
        <v>1233</v>
      </c>
      <c r="E182" s="45" t="s">
        <v>1382</v>
      </c>
      <c r="F182" s="32">
        <v>80</v>
      </c>
      <c r="G182" s="33">
        <v>80</v>
      </c>
      <c r="H182" s="33">
        <v>86</v>
      </c>
      <c r="I182" s="34">
        <f t="shared" si="5"/>
        <v>81</v>
      </c>
      <c r="J182" s="31" t="s">
        <v>1235</v>
      </c>
      <c r="K182" s="46" t="s">
        <v>850</v>
      </c>
    </row>
    <row r="183" spans="1:11" ht="33.950000000000003" customHeight="1" x14ac:dyDescent="0.25">
      <c r="A183" s="35">
        <v>182</v>
      </c>
      <c r="B183" s="35" t="s">
        <v>1650</v>
      </c>
      <c r="C183" s="35" t="s">
        <v>18</v>
      </c>
      <c r="D183" s="35" t="s">
        <v>1651</v>
      </c>
      <c r="E183" s="45" t="s">
        <v>1652</v>
      </c>
      <c r="F183" s="18">
        <v>80</v>
      </c>
      <c r="G183" s="19">
        <v>80</v>
      </c>
      <c r="H183" s="19">
        <v>86</v>
      </c>
      <c r="I183" s="36">
        <f t="shared" si="5"/>
        <v>81</v>
      </c>
      <c r="J183" s="35" t="s">
        <v>1235</v>
      </c>
      <c r="K183" s="46" t="s">
        <v>850</v>
      </c>
    </row>
    <row r="184" spans="1:11" ht="33.950000000000003" customHeight="1" x14ac:dyDescent="0.25">
      <c r="A184" s="31">
        <v>183</v>
      </c>
      <c r="B184" s="31" t="s">
        <v>1653</v>
      </c>
      <c r="C184" s="31" t="s">
        <v>1193</v>
      </c>
      <c r="D184" s="31" t="s">
        <v>1654</v>
      </c>
      <c r="E184" s="45" t="s">
        <v>1655</v>
      </c>
      <c r="F184" s="32">
        <v>80</v>
      </c>
      <c r="G184" s="33">
        <v>80</v>
      </c>
      <c r="H184" s="33">
        <v>86</v>
      </c>
      <c r="I184" s="34">
        <f t="shared" si="5"/>
        <v>81</v>
      </c>
      <c r="J184" s="31" t="s">
        <v>1235</v>
      </c>
      <c r="K184" s="46" t="s">
        <v>850</v>
      </c>
    </row>
    <row r="185" spans="1:11" ht="33.950000000000003" customHeight="1" x14ac:dyDescent="0.25">
      <c r="A185" s="35">
        <v>184</v>
      </c>
      <c r="B185" s="35" t="s">
        <v>1656</v>
      </c>
      <c r="C185" s="35" t="s">
        <v>37</v>
      </c>
      <c r="D185" s="35" t="s">
        <v>1657</v>
      </c>
      <c r="E185" s="45" t="s">
        <v>1658</v>
      </c>
      <c r="F185" s="18">
        <v>80</v>
      </c>
      <c r="G185" s="19">
        <v>80</v>
      </c>
      <c r="H185" s="19">
        <v>86</v>
      </c>
      <c r="I185" s="36">
        <f t="shared" si="5"/>
        <v>81</v>
      </c>
      <c r="J185" s="35" t="s">
        <v>1235</v>
      </c>
      <c r="K185" s="46" t="s">
        <v>850</v>
      </c>
    </row>
    <row r="186" spans="1:11" ht="33.950000000000003" customHeight="1" x14ac:dyDescent="0.25">
      <c r="A186" s="31">
        <v>185</v>
      </c>
      <c r="B186" s="31" t="s">
        <v>1659</v>
      </c>
      <c r="C186" s="31" t="s">
        <v>380</v>
      </c>
      <c r="D186" s="31" t="s">
        <v>1660</v>
      </c>
      <c r="E186" s="45" t="s">
        <v>1661</v>
      </c>
      <c r="F186" s="32">
        <v>80</v>
      </c>
      <c r="G186" s="33">
        <v>80</v>
      </c>
      <c r="H186" s="33">
        <v>86</v>
      </c>
      <c r="I186" s="34">
        <f t="shared" si="5"/>
        <v>81</v>
      </c>
      <c r="J186" s="31" t="s">
        <v>1235</v>
      </c>
      <c r="K186" s="46" t="s">
        <v>850</v>
      </c>
    </row>
    <row r="187" spans="1:11" ht="33.950000000000003" customHeight="1" x14ac:dyDescent="0.25">
      <c r="A187" s="35">
        <v>186</v>
      </c>
      <c r="B187" s="35" t="s">
        <v>1662</v>
      </c>
      <c r="C187" s="35" t="s">
        <v>113</v>
      </c>
      <c r="D187" s="35" t="s">
        <v>1663</v>
      </c>
      <c r="E187" s="45" t="s">
        <v>1664</v>
      </c>
      <c r="F187" s="18">
        <v>80</v>
      </c>
      <c r="G187" s="19">
        <v>80</v>
      </c>
      <c r="H187" s="19">
        <v>86</v>
      </c>
      <c r="I187" s="36">
        <f t="shared" si="5"/>
        <v>81</v>
      </c>
      <c r="J187" s="35" t="s">
        <v>1235</v>
      </c>
      <c r="K187" s="46" t="s">
        <v>850</v>
      </c>
    </row>
    <row r="188" spans="1:11" ht="33.950000000000003" customHeight="1" x14ac:dyDescent="0.25">
      <c r="A188" s="31">
        <v>187</v>
      </c>
      <c r="B188" s="31" t="s">
        <v>1665</v>
      </c>
      <c r="C188" s="31" t="s">
        <v>1092</v>
      </c>
      <c r="D188" s="31" t="s">
        <v>1666</v>
      </c>
      <c r="E188" s="45" t="s">
        <v>1667</v>
      </c>
      <c r="F188" s="32">
        <v>80</v>
      </c>
      <c r="G188" s="33">
        <v>80</v>
      </c>
      <c r="H188" s="33">
        <v>86</v>
      </c>
      <c r="I188" s="34">
        <f t="shared" si="5"/>
        <v>81</v>
      </c>
      <c r="J188" s="31" t="s">
        <v>1235</v>
      </c>
      <c r="K188" s="46" t="s">
        <v>850</v>
      </c>
    </row>
    <row r="189" spans="1:11" ht="33.950000000000003" customHeight="1" x14ac:dyDescent="0.25">
      <c r="A189" s="35">
        <v>188</v>
      </c>
      <c r="B189" s="35" t="s">
        <v>1668</v>
      </c>
      <c r="C189" s="35" t="s">
        <v>18</v>
      </c>
      <c r="D189" s="35" t="s">
        <v>1669</v>
      </c>
      <c r="E189" s="45" t="s">
        <v>1670</v>
      </c>
      <c r="F189" s="18">
        <v>80</v>
      </c>
      <c r="G189" s="19">
        <v>80</v>
      </c>
      <c r="H189" s="19">
        <v>86</v>
      </c>
      <c r="I189" s="36">
        <f t="shared" si="5"/>
        <v>81</v>
      </c>
      <c r="J189" s="35" t="s">
        <v>1235</v>
      </c>
      <c r="K189" s="46" t="s">
        <v>850</v>
      </c>
    </row>
    <row r="190" spans="1:11" ht="33.950000000000003" customHeight="1" x14ac:dyDescent="0.25">
      <c r="A190" s="31">
        <v>189</v>
      </c>
      <c r="B190" s="31" t="s">
        <v>1671</v>
      </c>
      <c r="C190" s="31" t="s">
        <v>18</v>
      </c>
      <c r="D190" s="31" t="s">
        <v>1672</v>
      </c>
      <c r="E190" s="45" t="s">
        <v>1673</v>
      </c>
      <c r="F190" s="32">
        <v>80</v>
      </c>
      <c r="G190" s="33">
        <v>80</v>
      </c>
      <c r="H190" s="33">
        <v>86</v>
      </c>
      <c r="I190" s="34">
        <f t="shared" si="5"/>
        <v>81</v>
      </c>
      <c r="J190" s="31" t="s">
        <v>1235</v>
      </c>
      <c r="K190" s="46" t="s">
        <v>850</v>
      </c>
    </row>
    <row r="191" spans="1:11" ht="33.950000000000003" customHeight="1" x14ac:dyDescent="0.25">
      <c r="A191" s="35">
        <v>190</v>
      </c>
      <c r="B191" s="35" t="s">
        <v>1674</v>
      </c>
      <c r="C191" s="35" t="s">
        <v>1499</v>
      </c>
      <c r="D191" s="35" t="s">
        <v>1675</v>
      </c>
      <c r="E191" s="45" t="s">
        <v>1676</v>
      </c>
      <c r="F191" s="18">
        <v>80</v>
      </c>
      <c r="G191" s="19">
        <v>80</v>
      </c>
      <c r="H191" s="19">
        <v>86</v>
      </c>
      <c r="I191" s="36">
        <f t="shared" si="5"/>
        <v>81</v>
      </c>
      <c r="J191" s="35" t="s">
        <v>1235</v>
      </c>
      <c r="K191" s="46" t="s">
        <v>850</v>
      </c>
    </row>
    <row r="192" spans="1:11" ht="33.950000000000003" customHeight="1" x14ac:dyDescent="0.25">
      <c r="A192" s="31">
        <v>191</v>
      </c>
      <c r="B192" s="31" t="s">
        <v>1677</v>
      </c>
      <c r="C192" s="31" t="s">
        <v>1074</v>
      </c>
      <c r="D192" s="31" t="s">
        <v>1314</v>
      </c>
      <c r="E192" s="45" t="s">
        <v>1678</v>
      </c>
      <c r="F192" s="32">
        <v>79</v>
      </c>
      <c r="G192" s="33">
        <v>79</v>
      </c>
      <c r="H192" s="33">
        <v>85</v>
      </c>
      <c r="I192" s="34">
        <f t="shared" si="5"/>
        <v>80</v>
      </c>
      <c r="J192" s="31" t="s">
        <v>1235</v>
      </c>
      <c r="K192" s="46" t="s">
        <v>850</v>
      </c>
    </row>
    <row r="193" spans="1:11" ht="33.950000000000003" customHeight="1" x14ac:dyDescent="0.25">
      <c r="A193" s="35">
        <v>192</v>
      </c>
      <c r="B193" s="35" t="s">
        <v>1679</v>
      </c>
      <c r="C193" s="35" t="s">
        <v>338</v>
      </c>
      <c r="D193" s="35" t="s">
        <v>1680</v>
      </c>
      <c r="E193" s="45" t="s">
        <v>1681</v>
      </c>
      <c r="F193" s="18">
        <v>79</v>
      </c>
      <c r="G193" s="19">
        <v>79</v>
      </c>
      <c r="H193" s="19">
        <v>85</v>
      </c>
      <c r="I193" s="36">
        <f t="shared" si="5"/>
        <v>80</v>
      </c>
      <c r="J193" s="35" t="s">
        <v>1235</v>
      </c>
      <c r="K193" s="46" t="s">
        <v>850</v>
      </c>
    </row>
    <row r="194" spans="1:11" ht="33.950000000000003" customHeight="1" x14ac:dyDescent="0.25">
      <c r="A194" s="31">
        <v>193</v>
      </c>
      <c r="B194" s="31" t="s">
        <v>1682</v>
      </c>
      <c r="C194" s="31" t="s">
        <v>733</v>
      </c>
      <c r="D194" s="31" t="s">
        <v>1683</v>
      </c>
      <c r="E194" s="45" t="s">
        <v>1684</v>
      </c>
      <c r="F194" s="32">
        <v>79</v>
      </c>
      <c r="G194" s="33">
        <v>79</v>
      </c>
      <c r="H194" s="33">
        <v>85</v>
      </c>
      <c r="I194" s="34">
        <f t="shared" ref="I194:I225" si="6">ROUND(F194*0.55+G194*0.3+H194*0.15,0)</f>
        <v>80</v>
      </c>
      <c r="J194" s="31" t="s">
        <v>1235</v>
      </c>
      <c r="K194" s="46" t="s">
        <v>850</v>
      </c>
    </row>
    <row r="195" spans="1:11" ht="33.950000000000003" customHeight="1" x14ac:dyDescent="0.25">
      <c r="A195" s="35">
        <v>194</v>
      </c>
      <c r="B195" s="35" t="s">
        <v>1685</v>
      </c>
      <c r="C195" s="35" t="s">
        <v>80</v>
      </c>
      <c r="D195" s="35" t="s">
        <v>1422</v>
      </c>
      <c r="E195" s="45" t="s">
        <v>1423</v>
      </c>
      <c r="F195" s="18">
        <v>79</v>
      </c>
      <c r="G195" s="19">
        <v>79</v>
      </c>
      <c r="H195" s="19">
        <v>85</v>
      </c>
      <c r="I195" s="36">
        <f t="shared" si="6"/>
        <v>80</v>
      </c>
      <c r="J195" s="35" t="s">
        <v>1235</v>
      </c>
      <c r="K195" s="46" t="s">
        <v>850</v>
      </c>
    </row>
    <row r="196" spans="1:11" ht="33.950000000000003" customHeight="1" x14ac:dyDescent="0.25">
      <c r="A196" s="31">
        <v>195</v>
      </c>
      <c r="B196" s="31" t="s">
        <v>1686</v>
      </c>
      <c r="C196" s="31" t="s">
        <v>62</v>
      </c>
      <c r="D196" s="31" t="s">
        <v>1687</v>
      </c>
      <c r="E196" s="45" t="s">
        <v>1688</v>
      </c>
      <c r="F196" s="32">
        <v>79</v>
      </c>
      <c r="G196" s="33">
        <v>79</v>
      </c>
      <c r="H196" s="33">
        <v>85</v>
      </c>
      <c r="I196" s="34">
        <f t="shared" si="6"/>
        <v>80</v>
      </c>
      <c r="J196" s="31" t="s">
        <v>1235</v>
      </c>
      <c r="K196" s="46" t="s">
        <v>850</v>
      </c>
    </row>
    <row r="197" spans="1:11" ht="33.950000000000003" customHeight="1" x14ac:dyDescent="0.25">
      <c r="A197" s="35">
        <v>196</v>
      </c>
      <c r="B197" s="35" t="s">
        <v>1689</v>
      </c>
      <c r="C197" s="35" t="s">
        <v>1499</v>
      </c>
      <c r="D197" s="35" t="s">
        <v>1690</v>
      </c>
      <c r="E197" s="45" t="s">
        <v>1691</v>
      </c>
      <c r="F197" s="18">
        <v>79</v>
      </c>
      <c r="G197" s="19">
        <v>79</v>
      </c>
      <c r="H197" s="19">
        <v>85</v>
      </c>
      <c r="I197" s="36">
        <f t="shared" si="6"/>
        <v>80</v>
      </c>
      <c r="J197" s="35" t="s">
        <v>1235</v>
      </c>
      <c r="K197" s="46" t="s">
        <v>850</v>
      </c>
    </row>
    <row r="198" spans="1:11" ht="33.950000000000003" customHeight="1" x14ac:dyDescent="0.25">
      <c r="A198" s="31">
        <v>197</v>
      </c>
      <c r="B198" s="31" t="s">
        <v>1692</v>
      </c>
      <c r="C198" s="31" t="s">
        <v>37</v>
      </c>
      <c r="D198" s="31" t="s">
        <v>1693</v>
      </c>
      <c r="E198" s="45" t="s">
        <v>1694</v>
      </c>
      <c r="F198" s="32">
        <v>79</v>
      </c>
      <c r="G198" s="33">
        <v>79</v>
      </c>
      <c r="H198" s="33">
        <v>85</v>
      </c>
      <c r="I198" s="34">
        <f t="shared" si="6"/>
        <v>80</v>
      </c>
      <c r="J198" s="31" t="s">
        <v>1235</v>
      </c>
      <c r="K198" s="46" t="s">
        <v>850</v>
      </c>
    </row>
    <row r="199" spans="1:11" ht="33.950000000000003" customHeight="1" x14ac:dyDescent="0.25">
      <c r="A199" s="35">
        <v>198</v>
      </c>
      <c r="B199" s="35" t="s">
        <v>1695</v>
      </c>
      <c r="C199" s="35" t="s">
        <v>180</v>
      </c>
      <c r="D199" s="35" t="s">
        <v>1696</v>
      </c>
      <c r="E199" s="45" t="s">
        <v>1697</v>
      </c>
      <c r="F199" s="18">
        <v>79</v>
      </c>
      <c r="G199" s="19">
        <v>79</v>
      </c>
      <c r="H199" s="19">
        <v>85</v>
      </c>
      <c r="I199" s="36">
        <f t="shared" si="6"/>
        <v>80</v>
      </c>
      <c r="J199" s="35" t="s">
        <v>1235</v>
      </c>
      <c r="K199" s="46" t="s">
        <v>850</v>
      </c>
    </row>
    <row r="200" spans="1:11" ht="33.950000000000003" customHeight="1" x14ac:dyDescent="0.25">
      <c r="A200" s="31">
        <v>199</v>
      </c>
      <c r="B200" s="31" t="s">
        <v>1698</v>
      </c>
      <c r="C200" s="31" t="s">
        <v>18</v>
      </c>
      <c r="D200" s="31" t="s">
        <v>1699</v>
      </c>
      <c r="E200" s="45" t="s">
        <v>1700</v>
      </c>
      <c r="F200" s="32">
        <v>79</v>
      </c>
      <c r="G200" s="33">
        <v>79</v>
      </c>
      <c r="H200" s="33">
        <v>85</v>
      </c>
      <c r="I200" s="34">
        <f t="shared" si="6"/>
        <v>80</v>
      </c>
      <c r="J200" s="31" t="s">
        <v>1235</v>
      </c>
      <c r="K200" s="46" t="s">
        <v>850</v>
      </c>
    </row>
    <row r="201" spans="1:11" ht="33.950000000000003" customHeight="1" x14ac:dyDescent="0.25">
      <c r="A201" s="35">
        <v>200</v>
      </c>
      <c r="B201" s="35" t="s">
        <v>1701</v>
      </c>
      <c r="C201" s="35" t="s">
        <v>18</v>
      </c>
      <c r="D201" s="35" t="s">
        <v>1702</v>
      </c>
      <c r="E201" s="45" t="s">
        <v>1703</v>
      </c>
      <c r="F201" s="18">
        <v>79</v>
      </c>
      <c r="G201" s="19">
        <v>79</v>
      </c>
      <c r="H201" s="19">
        <v>85</v>
      </c>
      <c r="I201" s="36">
        <f t="shared" si="6"/>
        <v>80</v>
      </c>
      <c r="J201" s="35" t="s">
        <v>1235</v>
      </c>
      <c r="K201" s="46" t="s">
        <v>850</v>
      </c>
    </row>
  </sheetData>
  <conditionalFormatting sqref="I2:I201">
    <cfRule type="colorScale" priority="1">
      <colorScale>
        <cfvo type="min"/>
        <cfvo type="percentile" val="55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01"/>
  <sheetViews>
    <sheetView showGridLines="0" workbookViewId="0">
      <pane ySplit="1" topLeftCell="A2" activePane="bottomLeft" state="frozen"/>
      <selection pane="bottomLeft" activeCell="D26" sqref="D26"/>
    </sheetView>
  </sheetViews>
  <sheetFormatPr defaultRowHeight="15" x14ac:dyDescent="0.25"/>
  <cols>
    <col min="1" max="1" width="8" customWidth="1"/>
    <col min="2" max="2" width="28" customWidth="1"/>
    <col min="3" max="3" width="18" customWidth="1"/>
    <col min="4" max="4" width="55" customWidth="1"/>
    <col min="5" max="5" width="44" customWidth="1"/>
    <col min="6" max="7" width="13" customWidth="1"/>
    <col min="8" max="8" width="15" customWidth="1"/>
    <col min="9" max="9" width="14" customWidth="1"/>
    <col min="10" max="10" width="76" customWidth="1"/>
    <col min="11" max="11" width="18" customWidth="1"/>
  </cols>
  <sheetData>
    <row r="1" spans="1:11" ht="30" customHeight="1" x14ac:dyDescent="0.25">
      <c r="A1" s="4" t="s">
        <v>0</v>
      </c>
      <c r="B1" s="4" t="s">
        <v>1</v>
      </c>
      <c r="C1" s="4" t="s">
        <v>2</v>
      </c>
      <c r="D1" s="4" t="s">
        <v>796</v>
      </c>
      <c r="E1" s="4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1" t="s">
        <v>10</v>
      </c>
    </row>
    <row r="2" spans="1:11" ht="33.950000000000003" customHeight="1" x14ac:dyDescent="0.25">
      <c r="A2" s="25">
        <v>1</v>
      </c>
      <c r="B2" s="25" t="s">
        <v>997</v>
      </c>
      <c r="C2" s="25" t="s">
        <v>12</v>
      </c>
      <c r="D2" s="25" t="s">
        <v>1704</v>
      </c>
      <c r="E2" s="44" t="s">
        <v>1705</v>
      </c>
      <c r="F2" s="6">
        <v>100</v>
      </c>
      <c r="G2" s="7">
        <v>100</v>
      </c>
      <c r="H2" s="7">
        <v>96</v>
      </c>
      <c r="I2" s="26">
        <f t="shared" ref="I2:I33" si="0">ROUND(F2*0.55+G2*0.3+H2*0.15,0)</f>
        <v>99</v>
      </c>
      <c r="J2" s="25" t="s">
        <v>1706</v>
      </c>
      <c r="K2" s="43" t="s">
        <v>16</v>
      </c>
    </row>
    <row r="3" spans="1:11" ht="33.950000000000003" customHeight="1" x14ac:dyDescent="0.25">
      <c r="A3" s="25">
        <v>2</v>
      </c>
      <c r="B3" s="25" t="s">
        <v>1252</v>
      </c>
      <c r="C3" s="25" t="s">
        <v>238</v>
      </c>
      <c r="D3" s="25" t="s">
        <v>1707</v>
      </c>
      <c r="E3" s="44" t="s">
        <v>1708</v>
      </c>
      <c r="F3" s="6">
        <v>100</v>
      </c>
      <c r="G3" s="7">
        <v>100</v>
      </c>
      <c r="H3" s="7">
        <v>95</v>
      </c>
      <c r="I3" s="26">
        <f t="shared" si="0"/>
        <v>99</v>
      </c>
      <c r="J3" s="25" t="s">
        <v>1706</v>
      </c>
      <c r="K3" s="43" t="s">
        <v>16</v>
      </c>
    </row>
    <row r="4" spans="1:11" ht="33.950000000000003" customHeight="1" x14ac:dyDescent="0.25">
      <c r="A4" s="25">
        <v>3</v>
      </c>
      <c r="B4" s="25" t="s">
        <v>813</v>
      </c>
      <c r="C4" s="25" t="s">
        <v>80</v>
      </c>
      <c r="D4" s="25" t="s">
        <v>1709</v>
      </c>
      <c r="E4" s="44" t="s">
        <v>1710</v>
      </c>
      <c r="F4" s="6">
        <v>100</v>
      </c>
      <c r="G4" s="7">
        <v>100</v>
      </c>
      <c r="H4" s="7">
        <v>95</v>
      </c>
      <c r="I4" s="26">
        <f t="shared" si="0"/>
        <v>99</v>
      </c>
      <c r="J4" s="25" t="s">
        <v>1706</v>
      </c>
      <c r="K4" s="43" t="s">
        <v>16</v>
      </c>
    </row>
    <row r="5" spans="1:11" ht="33.950000000000003" customHeight="1" x14ac:dyDescent="0.25">
      <c r="A5" s="25">
        <v>4</v>
      </c>
      <c r="B5" s="25" t="s">
        <v>1466</v>
      </c>
      <c r="C5" s="25" t="s">
        <v>18</v>
      </c>
      <c r="D5" s="25" t="s">
        <v>1711</v>
      </c>
      <c r="E5" s="44" t="s">
        <v>1712</v>
      </c>
      <c r="F5" s="6">
        <v>99</v>
      </c>
      <c r="G5" s="7">
        <v>99</v>
      </c>
      <c r="H5" s="7">
        <v>94</v>
      </c>
      <c r="I5" s="26">
        <f t="shared" si="0"/>
        <v>98</v>
      </c>
      <c r="J5" s="25" t="s">
        <v>1706</v>
      </c>
      <c r="K5" s="43" t="s">
        <v>16</v>
      </c>
    </row>
    <row r="6" spans="1:11" ht="33.950000000000003" customHeight="1" x14ac:dyDescent="0.25">
      <c r="A6" s="25">
        <v>5</v>
      </c>
      <c r="B6" s="25" t="s">
        <v>1713</v>
      </c>
      <c r="C6" s="25" t="s">
        <v>18</v>
      </c>
      <c r="D6" s="25" t="s">
        <v>1714</v>
      </c>
      <c r="E6" s="44" t="s">
        <v>1715</v>
      </c>
      <c r="F6" s="6">
        <v>99</v>
      </c>
      <c r="G6" s="7">
        <v>99</v>
      </c>
      <c r="H6" s="7">
        <v>94</v>
      </c>
      <c r="I6" s="26">
        <f t="shared" si="0"/>
        <v>98</v>
      </c>
      <c r="J6" s="25" t="s">
        <v>1706</v>
      </c>
      <c r="K6" s="43" t="s">
        <v>16</v>
      </c>
    </row>
    <row r="7" spans="1:11" ht="33.950000000000003" customHeight="1" x14ac:dyDescent="0.25">
      <c r="A7" s="25">
        <v>6</v>
      </c>
      <c r="B7" s="25" t="s">
        <v>1716</v>
      </c>
      <c r="C7" s="25" t="s">
        <v>270</v>
      </c>
      <c r="D7" s="25" t="s">
        <v>1717</v>
      </c>
      <c r="E7" s="44" t="s">
        <v>1718</v>
      </c>
      <c r="F7" s="6">
        <v>99</v>
      </c>
      <c r="G7" s="7">
        <v>98</v>
      </c>
      <c r="H7" s="7">
        <v>93</v>
      </c>
      <c r="I7" s="26">
        <f t="shared" si="0"/>
        <v>98</v>
      </c>
      <c r="J7" s="25" t="s">
        <v>1706</v>
      </c>
      <c r="K7" s="43" t="s">
        <v>16</v>
      </c>
    </row>
    <row r="8" spans="1:11" ht="33.950000000000003" customHeight="1" x14ac:dyDescent="0.25">
      <c r="A8" s="25">
        <v>7</v>
      </c>
      <c r="B8" s="25" t="s">
        <v>1719</v>
      </c>
      <c r="C8" s="25" t="s">
        <v>18</v>
      </c>
      <c r="D8" s="25" t="s">
        <v>1720</v>
      </c>
      <c r="E8" s="44" t="s">
        <v>1721</v>
      </c>
      <c r="F8" s="6">
        <v>99</v>
      </c>
      <c r="G8" s="7">
        <v>98</v>
      </c>
      <c r="H8" s="7">
        <v>93</v>
      </c>
      <c r="I8" s="26">
        <f t="shared" si="0"/>
        <v>98</v>
      </c>
      <c r="J8" s="25" t="s">
        <v>1706</v>
      </c>
      <c r="K8" s="43" t="s">
        <v>16</v>
      </c>
    </row>
    <row r="9" spans="1:11" ht="33.950000000000003" customHeight="1" x14ac:dyDescent="0.25">
      <c r="A9" s="25">
        <v>8</v>
      </c>
      <c r="B9" s="25" t="s">
        <v>1722</v>
      </c>
      <c r="C9" s="25" t="s">
        <v>18</v>
      </c>
      <c r="D9" s="25" t="s">
        <v>1723</v>
      </c>
      <c r="E9" s="44" t="s">
        <v>1724</v>
      </c>
      <c r="F9" s="6">
        <v>99</v>
      </c>
      <c r="G9" s="7">
        <v>98</v>
      </c>
      <c r="H9" s="7">
        <v>93</v>
      </c>
      <c r="I9" s="26">
        <f t="shared" si="0"/>
        <v>98</v>
      </c>
      <c r="J9" s="25" t="s">
        <v>1706</v>
      </c>
      <c r="K9" s="43" t="s">
        <v>16</v>
      </c>
    </row>
    <row r="10" spans="1:11" ht="33.950000000000003" customHeight="1" x14ac:dyDescent="0.25">
      <c r="A10" s="25">
        <v>9</v>
      </c>
      <c r="B10" s="25" t="s">
        <v>1725</v>
      </c>
      <c r="C10" s="25" t="s">
        <v>28</v>
      </c>
      <c r="D10" s="25" t="s">
        <v>1726</v>
      </c>
      <c r="E10" s="44" t="s">
        <v>1727</v>
      </c>
      <c r="F10" s="6">
        <v>98</v>
      </c>
      <c r="G10" s="7">
        <v>97</v>
      </c>
      <c r="H10" s="7">
        <v>92</v>
      </c>
      <c r="I10" s="26">
        <f t="shared" si="0"/>
        <v>97</v>
      </c>
      <c r="J10" s="25" t="s">
        <v>1706</v>
      </c>
      <c r="K10" s="43" t="s">
        <v>16</v>
      </c>
    </row>
    <row r="11" spans="1:11" ht="33.950000000000003" customHeight="1" x14ac:dyDescent="0.25">
      <c r="A11" s="25">
        <v>10</v>
      </c>
      <c r="B11" s="25" t="s">
        <v>1728</v>
      </c>
      <c r="C11" s="25" t="s">
        <v>28</v>
      </c>
      <c r="D11" s="25" t="s">
        <v>1729</v>
      </c>
      <c r="E11" s="44" t="s">
        <v>1730</v>
      </c>
      <c r="F11" s="6">
        <v>98</v>
      </c>
      <c r="G11" s="7">
        <v>97</v>
      </c>
      <c r="H11" s="7">
        <v>92</v>
      </c>
      <c r="I11" s="26">
        <f t="shared" si="0"/>
        <v>97</v>
      </c>
      <c r="J11" s="25" t="s">
        <v>1706</v>
      </c>
      <c r="K11" s="43" t="s">
        <v>16</v>
      </c>
    </row>
    <row r="12" spans="1:11" ht="33.950000000000003" customHeight="1" x14ac:dyDescent="0.25">
      <c r="A12" s="27">
        <v>11</v>
      </c>
      <c r="B12" s="27" t="s">
        <v>1307</v>
      </c>
      <c r="C12" s="27" t="s">
        <v>18</v>
      </c>
      <c r="D12" s="27" t="s">
        <v>1731</v>
      </c>
      <c r="E12" s="44" t="s">
        <v>1732</v>
      </c>
      <c r="F12" s="10">
        <v>97</v>
      </c>
      <c r="G12" s="11">
        <v>96</v>
      </c>
      <c r="H12" s="11">
        <v>91</v>
      </c>
      <c r="I12" s="28">
        <f t="shared" si="0"/>
        <v>96</v>
      </c>
      <c r="J12" s="27" t="s">
        <v>1706</v>
      </c>
      <c r="K12" s="43" t="s">
        <v>16</v>
      </c>
    </row>
    <row r="13" spans="1:11" ht="33.950000000000003" customHeight="1" x14ac:dyDescent="0.25">
      <c r="A13" s="27">
        <v>12</v>
      </c>
      <c r="B13" s="27" t="s">
        <v>1367</v>
      </c>
      <c r="C13" s="27" t="s">
        <v>18</v>
      </c>
      <c r="D13" s="27" t="s">
        <v>1731</v>
      </c>
      <c r="E13" s="44" t="s">
        <v>1733</v>
      </c>
      <c r="F13" s="10">
        <v>97</v>
      </c>
      <c r="G13" s="11">
        <v>96</v>
      </c>
      <c r="H13" s="11">
        <v>91</v>
      </c>
      <c r="I13" s="28">
        <f t="shared" si="0"/>
        <v>96</v>
      </c>
      <c r="J13" s="27" t="s">
        <v>1706</v>
      </c>
      <c r="K13" s="43" t="s">
        <v>16</v>
      </c>
    </row>
    <row r="14" spans="1:11" ht="33.950000000000003" customHeight="1" x14ac:dyDescent="0.25">
      <c r="A14" s="27">
        <v>13</v>
      </c>
      <c r="B14" s="27" t="s">
        <v>1417</v>
      </c>
      <c r="C14" s="27" t="s">
        <v>18</v>
      </c>
      <c r="D14" s="27" t="s">
        <v>1734</v>
      </c>
      <c r="E14" s="44" t="s">
        <v>1735</v>
      </c>
      <c r="F14" s="10">
        <v>97</v>
      </c>
      <c r="G14" s="11">
        <v>96</v>
      </c>
      <c r="H14" s="11">
        <v>91</v>
      </c>
      <c r="I14" s="28">
        <f t="shared" si="0"/>
        <v>96</v>
      </c>
      <c r="J14" s="27" t="s">
        <v>1706</v>
      </c>
      <c r="K14" s="43" t="s">
        <v>16</v>
      </c>
    </row>
    <row r="15" spans="1:11" ht="33.950000000000003" customHeight="1" x14ac:dyDescent="0.25">
      <c r="A15" s="27">
        <v>14</v>
      </c>
      <c r="B15" s="27" t="s">
        <v>1736</v>
      </c>
      <c r="C15" s="27" t="s">
        <v>18</v>
      </c>
      <c r="D15" s="27" t="s">
        <v>1737</v>
      </c>
      <c r="E15" s="44" t="s">
        <v>1738</v>
      </c>
      <c r="F15" s="10">
        <v>97</v>
      </c>
      <c r="G15" s="11">
        <v>96</v>
      </c>
      <c r="H15" s="11">
        <v>91</v>
      </c>
      <c r="I15" s="28">
        <f t="shared" si="0"/>
        <v>96</v>
      </c>
      <c r="J15" s="27" t="s">
        <v>1706</v>
      </c>
      <c r="K15" s="43" t="s">
        <v>16</v>
      </c>
    </row>
    <row r="16" spans="1:11" ht="33.950000000000003" customHeight="1" x14ac:dyDescent="0.25">
      <c r="A16" s="27">
        <v>15</v>
      </c>
      <c r="B16" s="27" t="s">
        <v>1739</v>
      </c>
      <c r="C16" s="27" t="s">
        <v>18</v>
      </c>
      <c r="D16" s="27" t="s">
        <v>1740</v>
      </c>
      <c r="E16" s="44" t="s">
        <v>1741</v>
      </c>
      <c r="F16" s="10">
        <v>97</v>
      </c>
      <c r="G16" s="11">
        <v>96</v>
      </c>
      <c r="H16" s="11">
        <v>91</v>
      </c>
      <c r="I16" s="28">
        <f t="shared" si="0"/>
        <v>96</v>
      </c>
      <c r="J16" s="27" t="s">
        <v>1706</v>
      </c>
      <c r="K16" s="43" t="s">
        <v>16</v>
      </c>
    </row>
    <row r="17" spans="1:11" ht="33.950000000000003" customHeight="1" x14ac:dyDescent="0.25">
      <c r="A17" s="27">
        <v>16</v>
      </c>
      <c r="B17" s="27" t="s">
        <v>1742</v>
      </c>
      <c r="C17" s="27" t="s">
        <v>18</v>
      </c>
      <c r="D17" s="27" t="s">
        <v>1743</v>
      </c>
      <c r="E17" s="45" t="s">
        <v>1744</v>
      </c>
      <c r="F17" s="10">
        <v>96</v>
      </c>
      <c r="G17" s="11">
        <v>95</v>
      </c>
      <c r="H17" s="11">
        <v>90</v>
      </c>
      <c r="I17" s="28">
        <f t="shared" si="0"/>
        <v>95</v>
      </c>
      <c r="J17" s="27" t="s">
        <v>1706</v>
      </c>
      <c r="K17" s="46" t="s">
        <v>850</v>
      </c>
    </row>
    <row r="18" spans="1:11" ht="33.950000000000003" customHeight="1" x14ac:dyDescent="0.25">
      <c r="A18" s="27">
        <v>17</v>
      </c>
      <c r="B18" s="27" t="s">
        <v>1745</v>
      </c>
      <c r="C18" s="27" t="s">
        <v>380</v>
      </c>
      <c r="D18" s="27" t="s">
        <v>1746</v>
      </c>
      <c r="E18" s="45" t="s">
        <v>1747</v>
      </c>
      <c r="F18" s="10">
        <v>96</v>
      </c>
      <c r="G18" s="11">
        <v>95</v>
      </c>
      <c r="H18" s="11">
        <v>90</v>
      </c>
      <c r="I18" s="28">
        <f t="shared" si="0"/>
        <v>95</v>
      </c>
      <c r="J18" s="27" t="s">
        <v>1706</v>
      </c>
      <c r="K18" s="46" t="s">
        <v>850</v>
      </c>
    </row>
    <row r="19" spans="1:11" ht="33.950000000000003" customHeight="1" x14ac:dyDescent="0.25">
      <c r="A19" s="27">
        <v>18</v>
      </c>
      <c r="B19" s="27" t="s">
        <v>1748</v>
      </c>
      <c r="C19" s="27" t="s">
        <v>18</v>
      </c>
      <c r="D19" s="27" t="s">
        <v>1749</v>
      </c>
      <c r="E19" s="45" t="s">
        <v>1750</v>
      </c>
      <c r="F19" s="10">
        <v>96</v>
      </c>
      <c r="G19" s="11">
        <v>95</v>
      </c>
      <c r="H19" s="11">
        <v>90</v>
      </c>
      <c r="I19" s="28">
        <f t="shared" si="0"/>
        <v>95</v>
      </c>
      <c r="J19" s="27" t="s">
        <v>1706</v>
      </c>
      <c r="K19" s="46" t="s">
        <v>850</v>
      </c>
    </row>
    <row r="20" spans="1:11" ht="33.950000000000003" customHeight="1" x14ac:dyDescent="0.25">
      <c r="A20" s="27">
        <v>19</v>
      </c>
      <c r="B20" s="27" t="s">
        <v>1751</v>
      </c>
      <c r="C20" s="27" t="s">
        <v>1092</v>
      </c>
      <c r="D20" s="27" t="s">
        <v>1752</v>
      </c>
      <c r="E20" s="45" t="s">
        <v>1753</v>
      </c>
      <c r="F20" s="10">
        <v>96</v>
      </c>
      <c r="G20" s="11">
        <v>95</v>
      </c>
      <c r="H20" s="11">
        <v>90</v>
      </c>
      <c r="I20" s="28">
        <f t="shared" si="0"/>
        <v>95</v>
      </c>
      <c r="J20" s="27" t="s">
        <v>1706</v>
      </c>
      <c r="K20" s="46" t="s">
        <v>850</v>
      </c>
    </row>
    <row r="21" spans="1:11" ht="33.950000000000003" customHeight="1" x14ac:dyDescent="0.25">
      <c r="A21" s="27">
        <v>20</v>
      </c>
      <c r="B21" s="27" t="s">
        <v>1754</v>
      </c>
      <c r="C21" s="27" t="s">
        <v>137</v>
      </c>
      <c r="D21" s="27" t="s">
        <v>1755</v>
      </c>
      <c r="E21" s="44" t="s">
        <v>1756</v>
      </c>
      <c r="F21" s="10">
        <v>96</v>
      </c>
      <c r="G21" s="11">
        <v>95</v>
      </c>
      <c r="H21" s="11">
        <v>90</v>
      </c>
      <c r="I21" s="28">
        <f t="shared" si="0"/>
        <v>95</v>
      </c>
      <c r="J21" s="27" t="s">
        <v>1706</v>
      </c>
      <c r="K21" s="43" t="s">
        <v>16</v>
      </c>
    </row>
    <row r="22" spans="1:11" ht="33.950000000000003" customHeight="1" x14ac:dyDescent="0.25">
      <c r="A22" s="27">
        <v>21</v>
      </c>
      <c r="B22" s="27" t="s">
        <v>1757</v>
      </c>
      <c r="C22" s="27" t="s">
        <v>62</v>
      </c>
      <c r="D22" s="27" t="s">
        <v>1758</v>
      </c>
      <c r="E22" s="44" t="s">
        <v>1759</v>
      </c>
      <c r="F22" s="10">
        <v>95</v>
      </c>
      <c r="G22" s="11">
        <v>94</v>
      </c>
      <c r="H22" s="11">
        <v>91</v>
      </c>
      <c r="I22" s="28">
        <f t="shared" si="0"/>
        <v>94</v>
      </c>
      <c r="J22" s="27" t="s">
        <v>1706</v>
      </c>
      <c r="K22" s="43" t="s">
        <v>16</v>
      </c>
    </row>
    <row r="23" spans="1:11" ht="33.950000000000003" customHeight="1" x14ac:dyDescent="0.25">
      <c r="A23" s="27">
        <v>22</v>
      </c>
      <c r="B23" s="27" t="s">
        <v>1760</v>
      </c>
      <c r="C23" s="27" t="s">
        <v>1227</v>
      </c>
      <c r="D23" s="27" t="s">
        <v>1761</v>
      </c>
      <c r="E23" s="45" t="s">
        <v>1762</v>
      </c>
      <c r="F23" s="10">
        <v>95</v>
      </c>
      <c r="G23" s="11">
        <v>94</v>
      </c>
      <c r="H23" s="11">
        <v>91</v>
      </c>
      <c r="I23" s="28">
        <f t="shared" si="0"/>
        <v>94</v>
      </c>
      <c r="J23" s="27" t="s">
        <v>1706</v>
      </c>
      <c r="K23" s="46" t="s">
        <v>850</v>
      </c>
    </row>
    <row r="24" spans="1:11" ht="33.950000000000003" customHeight="1" x14ac:dyDescent="0.25">
      <c r="A24" s="27">
        <v>23</v>
      </c>
      <c r="B24" s="27" t="s">
        <v>334</v>
      </c>
      <c r="C24" s="27" t="s">
        <v>867</v>
      </c>
      <c r="D24" s="27" t="s">
        <v>1763</v>
      </c>
      <c r="E24" s="45" t="s">
        <v>1764</v>
      </c>
      <c r="F24" s="10">
        <v>95</v>
      </c>
      <c r="G24" s="11">
        <v>94</v>
      </c>
      <c r="H24" s="11">
        <v>91</v>
      </c>
      <c r="I24" s="28">
        <f t="shared" si="0"/>
        <v>94</v>
      </c>
      <c r="J24" s="27" t="s">
        <v>1706</v>
      </c>
      <c r="K24" s="46" t="s">
        <v>850</v>
      </c>
    </row>
    <row r="25" spans="1:11" ht="33.950000000000003" customHeight="1" x14ac:dyDescent="0.25">
      <c r="A25" s="27">
        <v>24</v>
      </c>
      <c r="B25" s="27" t="s">
        <v>1765</v>
      </c>
      <c r="C25" s="27" t="s">
        <v>96</v>
      </c>
      <c r="D25" s="27" t="s">
        <v>1766</v>
      </c>
      <c r="E25" s="45" t="s">
        <v>1767</v>
      </c>
      <c r="F25" s="10">
        <v>95</v>
      </c>
      <c r="G25" s="11">
        <v>94</v>
      </c>
      <c r="H25" s="11">
        <v>91</v>
      </c>
      <c r="I25" s="28">
        <f t="shared" si="0"/>
        <v>94</v>
      </c>
      <c r="J25" s="27" t="s">
        <v>1706</v>
      </c>
      <c r="K25" s="46" t="s">
        <v>850</v>
      </c>
    </row>
    <row r="26" spans="1:11" ht="33.950000000000003" customHeight="1" x14ac:dyDescent="0.25">
      <c r="A26" s="27">
        <v>25</v>
      </c>
      <c r="B26" s="27" t="s">
        <v>568</v>
      </c>
      <c r="C26" s="27" t="s">
        <v>96</v>
      </c>
      <c r="D26" s="27" t="s">
        <v>1768</v>
      </c>
      <c r="E26" s="45" t="s">
        <v>1769</v>
      </c>
      <c r="F26" s="10">
        <v>95</v>
      </c>
      <c r="G26" s="11">
        <v>94</v>
      </c>
      <c r="H26" s="11">
        <v>91</v>
      </c>
      <c r="I26" s="28">
        <f t="shared" si="0"/>
        <v>94</v>
      </c>
      <c r="J26" s="27" t="s">
        <v>1706</v>
      </c>
      <c r="K26" s="46" t="s">
        <v>850</v>
      </c>
    </row>
    <row r="27" spans="1:11" ht="33.950000000000003" customHeight="1" x14ac:dyDescent="0.25">
      <c r="A27" s="29">
        <v>26</v>
      </c>
      <c r="B27" s="29" t="s">
        <v>1770</v>
      </c>
      <c r="C27" s="29" t="s">
        <v>96</v>
      </c>
      <c r="D27" s="29" t="s">
        <v>1771</v>
      </c>
      <c r="E27" s="45" t="s">
        <v>1772</v>
      </c>
      <c r="F27" s="14">
        <v>93</v>
      </c>
      <c r="G27" s="15">
        <v>93</v>
      </c>
      <c r="H27" s="15">
        <v>90</v>
      </c>
      <c r="I27" s="30">
        <f t="shared" si="0"/>
        <v>93</v>
      </c>
      <c r="J27" s="29" t="s">
        <v>1706</v>
      </c>
      <c r="K27" s="46" t="s">
        <v>850</v>
      </c>
    </row>
    <row r="28" spans="1:11" ht="33.950000000000003" customHeight="1" x14ac:dyDescent="0.25">
      <c r="A28" s="29">
        <v>27</v>
      </c>
      <c r="B28" s="29" t="s">
        <v>1463</v>
      </c>
      <c r="C28" s="29" t="s">
        <v>62</v>
      </c>
      <c r="D28" s="29" t="s">
        <v>1731</v>
      </c>
      <c r="E28" s="44" t="s">
        <v>1773</v>
      </c>
      <c r="F28" s="14">
        <v>93</v>
      </c>
      <c r="G28" s="15">
        <v>93</v>
      </c>
      <c r="H28" s="15">
        <v>90</v>
      </c>
      <c r="I28" s="30">
        <f t="shared" si="0"/>
        <v>93</v>
      </c>
      <c r="J28" s="29" t="s">
        <v>1706</v>
      </c>
      <c r="K28" s="43" t="s">
        <v>16</v>
      </c>
    </row>
    <row r="29" spans="1:11" ht="33.950000000000003" customHeight="1" x14ac:dyDescent="0.25">
      <c r="A29" s="29">
        <v>28</v>
      </c>
      <c r="B29" s="29" t="s">
        <v>1576</v>
      </c>
      <c r="C29" s="29" t="s">
        <v>62</v>
      </c>
      <c r="D29" s="29" t="s">
        <v>1731</v>
      </c>
      <c r="E29" s="44" t="s">
        <v>1774</v>
      </c>
      <c r="F29" s="14">
        <v>93</v>
      </c>
      <c r="G29" s="15">
        <v>93</v>
      </c>
      <c r="H29" s="15">
        <v>90</v>
      </c>
      <c r="I29" s="30">
        <f t="shared" si="0"/>
        <v>93</v>
      </c>
      <c r="J29" s="29" t="s">
        <v>1706</v>
      </c>
      <c r="K29" s="43" t="s">
        <v>16</v>
      </c>
    </row>
    <row r="30" spans="1:11" ht="33.950000000000003" customHeight="1" x14ac:dyDescent="0.25">
      <c r="A30" s="29">
        <v>29</v>
      </c>
      <c r="B30" s="29" t="s">
        <v>835</v>
      </c>
      <c r="C30" s="29" t="s">
        <v>164</v>
      </c>
      <c r="D30" s="29" t="s">
        <v>1731</v>
      </c>
      <c r="E30" s="44" t="s">
        <v>1775</v>
      </c>
      <c r="F30" s="14">
        <v>93</v>
      </c>
      <c r="G30" s="15">
        <v>93</v>
      </c>
      <c r="H30" s="15">
        <v>90</v>
      </c>
      <c r="I30" s="30">
        <f t="shared" si="0"/>
        <v>93</v>
      </c>
      <c r="J30" s="29" t="s">
        <v>1706</v>
      </c>
      <c r="K30" s="43" t="s">
        <v>16</v>
      </c>
    </row>
    <row r="31" spans="1:11" ht="33.950000000000003" customHeight="1" x14ac:dyDescent="0.25">
      <c r="A31" s="29">
        <v>30</v>
      </c>
      <c r="B31" s="29" t="s">
        <v>815</v>
      </c>
      <c r="C31" s="29" t="s">
        <v>338</v>
      </c>
      <c r="D31" s="29" t="s">
        <v>1731</v>
      </c>
      <c r="E31" s="44" t="s">
        <v>1776</v>
      </c>
      <c r="F31" s="14">
        <v>93</v>
      </c>
      <c r="G31" s="15">
        <v>93</v>
      </c>
      <c r="H31" s="15">
        <v>90</v>
      </c>
      <c r="I31" s="30">
        <f t="shared" si="0"/>
        <v>93</v>
      </c>
      <c r="J31" s="29" t="s">
        <v>1706</v>
      </c>
      <c r="K31" s="43" t="s">
        <v>16</v>
      </c>
    </row>
    <row r="32" spans="1:11" ht="33.950000000000003" customHeight="1" x14ac:dyDescent="0.25">
      <c r="A32" s="29">
        <v>31</v>
      </c>
      <c r="B32" s="29" t="s">
        <v>1777</v>
      </c>
      <c r="C32" s="29" t="s">
        <v>238</v>
      </c>
      <c r="D32" s="29" t="s">
        <v>1731</v>
      </c>
      <c r="E32" s="45" t="s">
        <v>1778</v>
      </c>
      <c r="F32" s="14">
        <v>93</v>
      </c>
      <c r="G32" s="15">
        <v>93</v>
      </c>
      <c r="H32" s="15">
        <v>90</v>
      </c>
      <c r="I32" s="30">
        <f t="shared" si="0"/>
        <v>93</v>
      </c>
      <c r="J32" s="29" t="s">
        <v>1706</v>
      </c>
      <c r="K32" s="46" t="s">
        <v>850</v>
      </c>
    </row>
    <row r="33" spans="1:11" ht="33.950000000000003" customHeight="1" x14ac:dyDescent="0.25">
      <c r="A33" s="29">
        <v>32</v>
      </c>
      <c r="B33" s="29" t="s">
        <v>1779</v>
      </c>
      <c r="C33" s="29" t="s">
        <v>338</v>
      </c>
      <c r="D33" s="29" t="s">
        <v>1780</v>
      </c>
      <c r="E33" s="45" t="s">
        <v>1781</v>
      </c>
      <c r="F33" s="14">
        <v>93</v>
      </c>
      <c r="G33" s="15">
        <v>93</v>
      </c>
      <c r="H33" s="15">
        <v>90</v>
      </c>
      <c r="I33" s="30">
        <f t="shared" si="0"/>
        <v>93</v>
      </c>
      <c r="J33" s="29" t="s">
        <v>1706</v>
      </c>
      <c r="K33" s="46" t="s">
        <v>850</v>
      </c>
    </row>
    <row r="34" spans="1:11" ht="33.950000000000003" customHeight="1" x14ac:dyDescent="0.25">
      <c r="A34" s="29">
        <v>33</v>
      </c>
      <c r="B34" s="29" t="s">
        <v>1782</v>
      </c>
      <c r="C34" s="29" t="s">
        <v>238</v>
      </c>
      <c r="D34" s="29" t="s">
        <v>1731</v>
      </c>
      <c r="E34" s="45" t="s">
        <v>1778</v>
      </c>
      <c r="F34" s="14">
        <v>93</v>
      </c>
      <c r="G34" s="15">
        <v>93</v>
      </c>
      <c r="H34" s="15">
        <v>90</v>
      </c>
      <c r="I34" s="30">
        <f t="shared" ref="I34:I65" si="1">ROUND(F34*0.55+G34*0.3+H34*0.15,0)</f>
        <v>93</v>
      </c>
      <c r="J34" s="29" t="s">
        <v>1706</v>
      </c>
      <c r="K34" s="46" t="s">
        <v>850</v>
      </c>
    </row>
    <row r="35" spans="1:11" ht="33.950000000000003" customHeight="1" x14ac:dyDescent="0.25">
      <c r="A35" s="29">
        <v>34</v>
      </c>
      <c r="B35" s="29" t="s">
        <v>1225</v>
      </c>
      <c r="C35" s="29" t="s">
        <v>18</v>
      </c>
      <c r="D35" s="29" t="s">
        <v>1783</v>
      </c>
      <c r="E35" s="45" t="s">
        <v>1784</v>
      </c>
      <c r="F35" s="14">
        <v>92</v>
      </c>
      <c r="G35" s="15">
        <v>92</v>
      </c>
      <c r="H35" s="15">
        <v>89</v>
      </c>
      <c r="I35" s="30">
        <f t="shared" si="1"/>
        <v>92</v>
      </c>
      <c r="J35" s="29" t="s">
        <v>1706</v>
      </c>
      <c r="K35" s="46" t="s">
        <v>850</v>
      </c>
    </row>
    <row r="36" spans="1:11" ht="33.950000000000003" customHeight="1" x14ac:dyDescent="0.25">
      <c r="A36" s="29">
        <v>35</v>
      </c>
      <c r="B36" s="29" t="s">
        <v>1785</v>
      </c>
      <c r="C36" s="29" t="s">
        <v>18</v>
      </c>
      <c r="D36" s="29" t="s">
        <v>1729</v>
      </c>
      <c r="E36" s="44" t="s">
        <v>1786</v>
      </c>
      <c r="F36" s="14">
        <v>92</v>
      </c>
      <c r="G36" s="15">
        <v>92</v>
      </c>
      <c r="H36" s="15">
        <v>89</v>
      </c>
      <c r="I36" s="30">
        <f t="shared" si="1"/>
        <v>92</v>
      </c>
      <c r="J36" s="29" t="s">
        <v>1706</v>
      </c>
      <c r="K36" s="43" t="s">
        <v>16</v>
      </c>
    </row>
    <row r="37" spans="1:11" ht="33.950000000000003" customHeight="1" x14ac:dyDescent="0.25">
      <c r="A37" s="29">
        <v>36</v>
      </c>
      <c r="B37" s="29" t="s">
        <v>819</v>
      </c>
      <c r="C37" s="29" t="s">
        <v>18</v>
      </c>
      <c r="D37" s="29" t="s">
        <v>1729</v>
      </c>
      <c r="E37" s="44" t="s">
        <v>1787</v>
      </c>
      <c r="F37" s="14">
        <v>92</v>
      </c>
      <c r="G37" s="15">
        <v>92</v>
      </c>
      <c r="H37" s="15">
        <v>89</v>
      </c>
      <c r="I37" s="30">
        <f t="shared" si="1"/>
        <v>92</v>
      </c>
      <c r="J37" s="29" t="s">
        <v>1706</v>
      </c>
      <c r="K37" s="43" t="s">
        <v>16</v>
      </c>
    </row>
    <row r="38" spans="1:11" ht="33.950000000000003" customHeight="1" x14ac:dyDescent="0.25">
      <c r="A38" s="29">
        <v>37</v>
      </c>
      <c r="B38" s="29" t="s">
        <v>1788</v>
      </c>
      <c r="C38" s="29" t="s">
        <v>18</v>
      </c>
      <c r="D38" s="29" t="s">
        <v>1789</v>
      </c>
      <c r="E38" s="45" t="s">
        <v>1790</v>
      </c>
      <c r="F38" s="14">
        <v>92</v>
      </c>
      <c r="G38" s="15">
        <v>92</v>
      </c>
      <c r="H38" s="15">
        <v>89</v>
      </c>
      <c r="I38" s="30">
        <f t="shared" si="1"/>
        <v>92</v>
      </c>
      <c r="J38" s="29" t="s">
        <v>1706</v>
      </c>
      <c r="K38" s="46" t="s">
        <v>850</v>
      </c>
    </row>
    <row r="39" spans="1:11" ht="33.950000000000003" customHeight="1" x14ac:dyDescent="0.25">
      <c r="A39" s="29">
        <v>38</v>
      </c>
      <c r="B39" s="29" t="s">
        <v>1791</v>
      </c>
      <c r="C39" s="29" t="s">
        <v>18</v>
      </c>
      <c r="D39" s="29" t="s">
        <v>1761</v>
      </c>
      <c r="E39" s="44" t="s">
        <v>1792</v>
      </c>
      <c r="F39" s="14">
        <v>92</v>
      </c>
      <c r="G39" s="15">
        <v>92</v>
      </c>
      <c r="H39" s="15">
        <v>89</v>
      </c>
      <c r="I39" s="30">
        <f t="shared" si="1"/>
        <v>92</v>
      </c>
      <c r="J39" s="29" t="s">
        <v>1706</v>
      </c>
      <c r="K39" s="43" t="s">
        <v>16</v>
      </c>
    </row>
    <row r="40" spans="1:11" ht="33.950000000000003" customHeight="1" x14ac:dyDescent="0.25">
      <c r="A40" s="29">
        <v>39</v>
      </c>
      <c r="B40" s="29" t="s">
        <v>1793</v>
      </c>
      <c r="C40" s="29" t="s">
        <v>733</v>
      </c>
      <c r="D40" s="29" t="s">
        <v>1794</v>
      </c>
      <c r="E40" s="45" t="s">
        <v>1795</v>
      </c>
      <c r="F40" s="14">
        <v>92</v>
      </c>
      <c r="G40" s="15">
        <v>92</v>
      </c>
      <c r="H40" s="15">
        <v>89</v>
      </c>
      <c r="I40" s="30">
        <f t="shared" si="1"/>
        <v>92</v>
      </c>
      <c r="J40" s="29" t="s">
        <v>1706</v>
      </c>
      <c r="K40" s="46" t="s">
        <v>850</v>
      </c>
    </row>
    <row r="41" spans="1:11" ht="33.950000000000003" customHeight="1" x14ac:dyDescent="0.25">
      <c r="A41" s="29">
        <v>40</v>
      </c>
      <c r="B41" s="29" t="s">
        <v>1796</v>
      </c>
      <c r="C41" s="29" t="s">
        <v>18</v>
      </c>
      <c r="D41" s="29" t="s">
        <v>1797</v>
      </c>
      <c r="E41" s="45" t="s">
        <v>1798</v>
      </c>
      <c r="F41" s="14">
        <v>92</v>
      </c>
      <c r="G41" s="15">
        <v>92</v>
      </c>
      <c r="H41" s="15">
        <v>89</v>
      </c>
      <c r="I41" s="30">
        <f t="shared" si="1"/>
        <v>92</v>
      </c>
      <c r="J41" s="29" t="s">
        <v>1706</v>
      </c>
      <c r="K41" s="46" t="s">
        <v>850</v>
      </c>
    </row>
    <row r="42" spans="1:11" ht="33.950000000000003" customHeight="1" x14ac:dyDescent="0.25">
      <c r="A42" s="29">
        <v>41</v>
      </c>
      <c r="B42" s="29" t="s">
        <v>1799</v>
      </c>
      <c r="C42" s="29" t="s">
        <v>18</v>
      </c>
      <c r="D42" s="29" t="s">
        <v>1800</v>
      </c>
      <c r="E42" s="45" t="s">
        <v>1801</v>
      </c>
      <c r="F42" s="14">
        <v>92</v>
      </c>
      <c r="G42" s="15">
        <v>92</v>
      </c>
      <c r="H42" s="15">
        <v>89</v>
      </c>
      <c r="I42" s="30">
        <f t="shared" si="1"/>
        <v>92</v>
      </c>
      <c r="J42" s="29" t="s">
        <v>1706</v>
      </c>
      <c r="K42" s="46" t="s">
        <v>850</v>
      </c>
    </row>
    <row r="43" spans="1:11" ht="33.950000000000003" customHeight="1" x14ac:dyDescent="0.25">
      <c r="A43" s="29">
        <v>42</v>
      </c>
      <c r="B43" s="29" t="s">
        <v>1802</v>
      </c>
      <c r="C43" s="29" t="s">
        <v>18</v>
      </c>
      <c r="D43" s="29" t="s">
        <v>1803</v>
      </c>
      <c r="E43" s="45" t="s">
        <v>1804</v>
      </c>
      <c r="F43" s="14">
        <v>91</v>
      </c>
      <c r="G43" s="15">
        <v>91</v>
      </c>
      <c r="H43" s="15">
        <v>88</v>
      </c>
      <c r="I43" s="30">
        <f t="shared" si="1"/>
        <v>91</v>
      </c>
      <c r="J43" s="29" t="s">
        <v>1706</v>
      </c>
      <c r="K43" s="46" t="s">
        <v>850</v>
      </c>
    </row>
    <row r="44" spans="1:11" ht="33.950000000000003" customHeight="1" x14ac:dyDescent="0.25">
      <c r="A44" s="29">
        <v>43</v>
      </c>
      <c r="B44" s="29" t="s">
        <v>717</v>
      </c>
      <c r="C44" s="29" t="s">
        <v>338</v>
      </c>
      <c r="D44" s="29" t="s">
        <v>1805</v>
      </c>
      <c r="E44" s="44" t="s">
        <v>1806</v>
      </c>
      <c r="F44" s="14">
        <v>91</v>
      </c>
      <c r="G44" s="15">
        <v>91</v>
      </c>
      <c r="H44" s="15">
        <v>88</v>
      </c>
      <c r="I44" s="30">
        <f t="shared" si="1"/>
        <v>91</v>
      </c>
      <c r="J44" s="29" t="s">
        <v>1706</v>
      </c>
      <c r="K44" s="43" t="s">
        <v>16</v>
      </c>
    </row>
    <row r="45" spans="1:11" ht="33.950000000000003" customHeight="1" x14ac:dyDescent="0.25">
      <c r="A45" s="29">
        <v>44</v>
      </c>
      <c r="B45" s="29" t="s">
        <v>1807</v>
      </c>
      <c r="C45" s="29" t="s">
        <v>23</v>
      </c>
      <c r="D45" s="29" t="s">
        <v>1808</v>
      </c>
      <c r="E45" s="45" t="s">
        <v>1809</v>
      </c>
      <c r="F45" s="14">
        <v>91</v>
      </c>
      <c r="G45" s="15">
        <v>91</v>
      </c>
      <c r="H45" s="15">
        <v>88</v>
      </c>
      <c r="I45" s="30">
        <f t="shared" si="1"/>
        <v>91</v>
      </c>
      <c r="J45" s="29" t="s">
        <v>1706</v>
      </c>
      <c r="K45" s="46" t="s">
        <v>850</v>
      </c>
    </row>
    <row r="46" spans="1:11" ht="33.950000000000003" customHeight="1" x14ac:dyDescent="0.25">
      <c r="A46" s="29">
        <v>45</v>
      </c>
      <c r="B46" s="29" t="s">
        <v>1810</v>
      </c>
      <c r="C46" s="29" t="s">
        <v>105</v>
      </c>
      <c r="D46" s="29" t="s">
        <v>1811</v>
      </c>
      <c r="E46" s="44" t="s">
        <v>1812</v>
      </c>
      <c r="F46" s="14">
        <v>91</v>
      </c>
      <c r="G46" s="15">
        <v>91</v>
      </c>
      <c r="H46" s="15">
        <v>88</v>
      </c>
      <c r="I46" s="30">
        <f t="shared" si="1"/>
        <v>91</v>
      </c>
      <c r="J46" s="29" t="s">
        <v>1706</v>
      </c>
      <c r="K46" s="43" t="s">
        <v>16</v>
      </c>
    </row>
    <row r="47" spans="1:11" ht="33.950000000000003" customHeight="1" x14ac:dyDescent="0.25">
      <c r="A47" s="29">
        <v>46</v>
      </c>
      <c r="B47" s="29" t="s">
        <v>1813</v>
      </c>
      <c r="C47" s="29" t="s">
        <v>238</v>
      </c>
      <c r="D47" s="29" t="s">
        <v>1743</v>
      </c>
      <c r="E47" s="45" t="s">
        <v>1744</v>
      </c>
      <c r="F47" s="14">
        <v>91</v>
      </c>
      <c r="G47" s="15">
        <v>91</v>
      </c>
      <c r="H47" s="15">
        <v>88</v>
      </c>
      <c r="I47" s="30">
        <f t="shared" si="1"/>
        <v>91</v>
      </c>
      <c r="J47" s="29" t="s">
        <v>1706</v>
      </c>
      <c r="K47" s="46" t="s">
        <v>850</v>
      </c>
    </row>
    <row r="48" spans="1:11" ht="33.950000000000003" customHeight="1" x14ac:dyDescent="0.25">
      <c r="A48" s="29">
        <v>47</v>
      </c>
      <c r="B48" s="29" t="s">
        <v>751</v>
      </c>
      <c r="C48" s="29" t="s">
        <v>270</v>
      </c>
      <c r="D48" s="29" t="s">
        <v>1814</v>
      </c>
      <c r="E48" s="45" t="s">
        <v>1815</v>
      </c>
      <c r="F48" s="14">
        <v>91</v>
      </c>
      <c r="G48" s="15">
        <v>91</v>
      </c>
      <c r="H48" s="15">
        <v>88</v>
      </c>
      <c r="I48" s="30">
        <f t="shared" si="1"/>
        <v>91</v>
      </c>
      <c r="J48" s="29" t="s">
        <v>1706</v>
      </c>
      <c r="K48" s="46" t="s">
        <v>850</v>
      </c>
    </row>
    <row r="49" spans="1:11" ht="33.950000000000003" customHeight="1" x14ac:dyDescent="0.25">
      <c r="A49" s="29">
        <v>48</v>
      </c>
      <c r="B49" s="29" t="s">
        <v>1816</v>
      </c>
      <c r="C49" s="29" t="s">
        <v>752</v>
      </c>
      <c r="D49" s="29" t="s">
        <v>1817</v>
      </c>
      <c r="E49" s="45" t="s">
        <v>1818</v>
      </c>
      <c r="F49" s="14">
        <v>91</v>
      </c>
      <c r="G49" s="15">
        <v>91</v>
      </c>
      <c r="H49" s="15">
        <v>88</v>
      </c>
      <c r="I49" s="30">
        <f t="shared" si="1"/>
        <v>91</v>
      </c>
      <c r="J49" s="29" t="s">
        <v>1706</v>
      </c>
      <c r="K49" s="46" t="s">
        <v>850</v>
      </c>
    </row>
    <row r="50" spans="1:11" ht="33.950000000000003" customHeight="1" x14ac:dyDescent="0.25">
      <c r="A50" s="29">
        <v>49</v>
      </c>
      <c r="B50" s="29" t="s">
        <v>163</v>
      </c>
      <c r="C50" s="29" t="s">
        <v>1819</v>
      </c>
      <c r="D50" s="29" t="s">
        <v>1811</v>
      </c>
      <c r="E50" s="45" t="s">
        <v>1820</v>
      </c>
      <c r="F50" s="14">
        <v>91</v>
      </c>
      <c r="G50" s="15">
        <v>91</v>
      </c>
      <c r="H50" s="15">
        <v>88</v>
      </c>
      <c r="I50" s="30">
        <f t="shared" si="1"/>
        <v>91</v>
      </c>
      <c r="J50" s="29" t="s">
        <v>1706</v>
      </c>
      <c r="K50" s="46" t="s">
        <v>850</v>
      </c>
    </row>
    <row r="51" spans="1:11" ht="33.950000000000003" customHeight="1" x14ac:dyDescent="0.25">
      <c r="A51" s="29">
        <v>50</v>
      </c>
      <c r="B51" s="29" t="s">
        <v>1821</v>
      </c>
      <c r="C51" s="29" t="s">
        <v>959</v>
      </c>
      <c r="D51" s="29" t="s">
        <v>1822</v>
      </c>
      <c r="E51" s="45" t="s">
        <v>1823</v>
      </c>
      <c r="F51" s="14">
        <v>90</v>
      </c>
      <c r="G51" s="15">
        <v>90</v>
      </c>
      <c r="H51" s="15">
        <v>87</v>
      </c>
      <c r="I51" s="30">
        <f t="shared" si="1"/>
        <v>90</v>
      </c>
      <c r="J51" s="29" t="s">
        <v>1706</v>
      </c>
      <c r="K51" s="46" t="s">
        <v>850</v>
      </c>
    </row>
    <row r="52" spans="1:11" ht="33.950000000000003" customHeight="1" x14ac:dyDescent="0.25">
      <c r="A52" s="31">
        <v>51</v>
      </c>
      <c r="B52" s="31" t="s">
        <v>499</v>
      </c>
      <c r="C52" s="31" t="s">
        <v>122</v>
      </c>
      <c r="D52" s="31" t="s">
        <v>1761</v>
      </c>
      <c r="E52" s="45" t="s">
        <v>1762</v>
      </c>
      <c r="F52" s="32">
        <v>89</v>
      </c>
      <c r="G52" s="33">
        <v>88</v>
      </c>
      <c r="H52" s="33">
        <v>86</v>
      </c>
      <c r="I52" s="34">
        <f t="shared" si="1"/>
        <v>88</v>
      </c>
      <c r="J52" s="31" t="s">
        <v>1706</v>
      </c>
      <c r="K52" s="46" t="s">
        <v>850</v>
      </c>
    </row>
    <row r="53" spans="1:11" ht="33.950000000000003" customHeight="1" x14ac:dyDescent="0.25">
      <c r="A53" s="35">
        <v>52</v>
      </c>
      <c r="B53" s="35" t="s">
        <v>234</v>
      </c>
      <c r="C53" s="35" t="s">
        <v>137</v>
      </c>
      <c r="D53" s="35" t="s">
        <v>1824</v>
      </c>
      <c r="E53" s="45" t="s">
        <v>1825</v>
      </c>
      <c r="F53" s="18">
        <v>89</v>
      </c>
      <c r="G53" s="19">
        <v>88</v>
      </c>
      <c r="H53" s="19">
        <v>86</v>
      </c>
      <c r="I53" s="36">
        <f t="shared" si="1"/>
        <v>88</v>
      </c>
      <c r="J53" s="35" t="s">
        <v>1706</v>
      </c>
      <c r="K53" s="46" t="s">
        <v>850</v>
      </c>
    </row>
    <row r="54" spans="1:11" ht="33.950000000000003" customHeight="1" x14ac:dyDescent="0.25">
      <c r="A54" s="31">
        <v>53</v>
      </c>
      <c r="B54" s="31" t="s">
        <v>75</v>
      </c>
      <c r="C54" s="31" t="s">
        <v>304</v>
      </c>
      <c r="D54" s="31" t="s">
        <v>1826</v>
      </c>
      <c r="E54" s="45" t="s">
        <v>1827</v>
      </c>
      <c r="F54" s="32">
        <v>89</v>
      </c>
      <c r="G54" s="33">
        <v>88</v>
      </c>
      <c r="H54" s="33">
        <v>86</v>
      </c>
      <c r="I54" s="34">
        <f t="shared" si="1"/>
        <v>88</v>
      </c>
      <c r="J54" s="31" t="s">
        <v>1706</v>
      </c>
      <c r="K54" s="46" t="s">
        <v>850</v>
      </c>
    </row>
    <row r="55" spans="1:11" ht="33.950000000000003" customHeight="1" x14ac:dyDescent="0.25">
      <c r="A55" s="35">
        <v>54</v>
      </c>
      <c r="B55" s="35" t="s">
        <v>1828</v>
      </c>
      <c r="C55" s="35" t="s">
        <v>37</v>
      </c>
      <c r="D55" s="35" t="s">
        <v>1829</v>
      </c>
      <c r="E55" s="45" t="s">
        <v>1830</v>
      </c>
      <c r="F55" s="18">
        <v>89</v>
      </c>
      <c r="G55" s="19">
        <v>88</v>
      </c>
      <c r="H55" s="19">
        <v>86</v>
      </c>
      <c r="I55" s="36">
        <f t="shared" si="1"/>
        <v>88</v>
      </c>
      <c r="J55" s="35" t="s">
        <v>1706</v>
      </c>
      <c r="K55" s="46" t="s">
        <v>850</v>
      </c>
    </row>
    <row r="56" spans="1:11" ht="33.950000000000003" customHeight="1" x14ac:dyDescent="0.25">
      <c r="A56" s="31">
        <v>55</v>
      </c>
      <c r="B56" s="31" t="s">
        <v>1831</v>
      </c>
      <c r="C56" s="31" t="s">
        <v>37</v>
      </c>
      <c r="D56" s="31" t="s">
        <v>1731</v>
      </c>
      <c r="E56" s="44" t="s">
        <v>1832</v>
      </c>
      <c r="F56" s="32">
        <v>89</v>
      </c>
      <c r="G56" s="33">
        <v>88</v>
      </c>
      <c r="H56" s="33">
        <v>86</v>
      </c>
      <c r="I56" s="34">
        <f t="shared" si="1"/>
        <v>88</v>
      </c>
      <c r="J56" s="31" t="s">
        <v>1706</v>
      </c>
      <c r="K56" s="43" t="s">
        <v>16</v>
      </c>
    </row>
    <row r="57" spans="1:11" ht="33.950000000000003" customHeight="1" x14ac:dyDescent="0.25">
      <c r="A57" s="35">
        <v>56</v>
      </c>
      <c r="B57" s="35" t="s">
        <v>1833</v>
      </c>
      <c r="C57" s="35" t="s">
        <v>752</v>
      </c>
      <c r="D57" s="35" t="s">
        <v>1731</v>
      </c>
      <c r="E57" s="44" t="s">
        <v>1834</v>
      </c>
      <c r="F57" s="18">
        <v>89</v>
      </c>
      <c r="G57" s="19">
        <v>88</v>
      </c>
      <c r="H57" s="19">
        <v>86</v>
      </c>
      <c r="I57" s="36">
        <f t="shared" si="1"/>
        <v>88</v>
      </c>
      <c r="J57" s="35" t="s">
        <v>1706</v>
      </c>
      <c r="K57" s="43" t="s">
        <v>16</v>
      </c>
    </row>
    <row r="58" spans="1:11" ht="33.950000000000003" customHeight="1" x14ac:dyDescent="0.25">
      <c r="A58" s="31">
        <v>57</v>
      </c>
      <c r="B58" s="31" t="s">
        <v>1835</v>
      </c>
      <c r="C58" s="31" t="s">
        <v>286</v>
      </c>
      <c r="D58" s="31" t="s">
        <v>1836</v>
      </c>
      <c r="E58" s="44" t="s">
        <v>1837</v>
      </c>
      <c r="F58" s="32">
        <v>89</v>
      </c>
      <c r="G58" s="33">
        <v>88</v>
      </c>
      <c r="H58" s="33">
        <v>86</v>
      </c>
      <c r="I58" s="34">
        <f t="shared" si="1"/>
        <v>88</v>
      </c>
      <c r="J58" s="31" t="s">
        <v>1706</v>
      </c>
      <c r="K58" s="43" t="s">
        <v>16</v>
      </c>
    </row>
    <row r="59" spans="1:11" ht="33.950000000000003" customHeight="1" x14ac:dyDescent="0.25">
      <c r="A59" s="35">
        <v>58</v>
      </c>
      <c r="B59" s="35" t="s">
        <v>1838</v>
      </c>
      <c r="C59" s="35" t="s">
        <v>37</v>
      </c>
      <c r="D59" s="35" t="s">
        <v>1731</v>
      </c>
      <c r="E59" s="45" t="s">
        <v>1778</v>
      </c>
      <c r="F59" s="18">
        <v>89</v>
      </c>
      <c r="G59" s="19">
        <v>88</v>
      </c>
      <c r="H59" s="19">
        <v>86</v>
      </c>
      <c r="I59" s="36">
        <f t="shared" si="1"/>
        <v>88</v>
      </c>
      <c r="J59" s="35" t="s">
        <v>1706</v>
      </c>
      <c r="K59" s="46" t="s">
        <v>850</v>
      </c>
    </row>
    <row r="60" spans="1:11" ht="33.950000000000003" customHeight="1" x14ac:dyDescent="0.25">
      <c r="A60" s="31">
        <v>59</v>
      </c>
      <c r="B60" s="31" t="s">
        <v>1454</v>
      </c>
      <c r="C60" s="31" t="s">
        <v>105</v>
      </c>
      <c r="D60" s="31" t="s">
        <v>1731</v>
      </c>
      <c r="E60" s="45" t="s">
        <v>1778</v>
      </c>
      <c r="F60" s="32">
        <v>89</v>
      </c>
      <c r="G60" s="33">
        <v>88</v>
      </c>
      <c r="H60" s="33">
        <v>86</v>
      </c>
      <c r="I60" s="34">
        <f t="shared" si="1"/>
        <v>88</v>
      </c>
      <c r="J60" s="31" t="s">
        <v>1706</v>
      </c>
      <c r="K60" s="46" t="s">
        <v>850</v>
      </c>
    </row>
    <row r="61" spans="1:11" ht="33.950000000000003" customHeight="1" x14ac:dyDescent="0.25">
      <c r="A61" s="35">
        <v>60</v>
      </c>
      <c r="B61" s="35" t="s">
        <v>1839</v>
      </c>
      <c r="C61" s="35" t="s">
        <v>172</v>
      </c>
      <c r="D61" s="35" t="s">
        <v>1840</v>
      </c>
      <c r="E61" s="45" t="s">
        <v>1841</v>
      </c>
      <c r="F61" s="18">
        <v>89</v>
      </c>
      <c r="G61" s="19">
        <v>88</v>
      </c>
      <c r="H61" s="19">
        <v>86</v>
      </c>
      <c r="I61" s="36">
        <f t="shared" si="1"/>
        <v>88</v>
      </c>
      <c r="J61" s="35" t="s">
        <v>1706</v>
      </c>
      <c r="K61" s="46" t="s">
        <v>850</v>
      </c>
    </row>
    <row r="62" spans="1:11" ht="33.950000000000003" customHeight="1" x14ac:dyDescent="0.25">
      <c r="A62" s="31">
        <v>61</v>
      </c>
      <c r="B62" s="31" t="s">
        <v>557</v>
      </c>
      <c r="C62" s="31" t="s">
        <v>18</v>
      </c>
      <c r="D62" s="31" t="s">
        <v>1842</v>
      </c>
      <c r="E62" s="45" t="s">
        <v>1843</v>
      </c>
      <c r="F62" s="32">
        <v>89</v>
      </c>
      <c r="G62" s="33">
        <v>88</v>
      </c>
      <c r="H62" s="33">
        <v>86</v>
      </c>
      <c r="I62" s="34">
        <f t="shared" si="1"/>
        <v>88</v>
      </c>
      <c r="J62" s="31" t="s">
        <v>1706</v>
      </c>
      <c r="K62" s="46" t="s">
        <v>850</v>
      </c>
    </row>
    <row r="63" spans="1:11" ht="33.950000000000003" customHeight="1" x14ac:dyDescent="0.25">
      <c r="A63" s="35">
        <v>62</v>
      </c>
      <c r="B63" s="35" t="s">
        <v>104</v>
      </c>
      <c r="C63" s="35" t="s">
        <v>164</v>
      </c>
      <c r="D63" s="35" t="s">
        <v>1844</v>
      </c>
      <c r="E63" s="44" t="s">
        <v>1845</v>
      </c>
      <c r="F63" s="18">
        <v>89</v>
      </c>
      <c r="G63" s="19">
        <v>88</v>
      </c>
      <c r="H63" s="19">
        <v>86</v>
      </c>
      <c r="I63" s="36">
        <f t="shared" si="1"/>
        <v>88</v>
      </c>
      <c r="J63" s="35" t="s">
        <v>1706</v>
      </c>
      <c r="K63" s="43" t="s">
        <v>16</v>
      </c>
    </row>
    <row r="64" spans="1:11" ht="33.950000000000003" customHeight="1" x14ac:dyDescent="0.25">
      <c r="A64" s="31">
        <v>63</v>
      </c>
      <c r="B64" s="31" t="s">
        <v>1846</v>
      </c>
      <c r="C64" s="31" t="s">
        <v>286</v>
      </c>
      <c r="D64" s="31" t="s">
        <v>1847</v>
      </c>
      <c r="E64" s="45" t="s">
        <v>1848</v>
      </c>
      <c r="F64" s="32">
        <v>89</v>
      </c>
      <c r="G64" s="33">
        <v>88</v>
      </c>
      <c r="H64" s="33">
        <v>86</v>
      </c>
      <c r="I64" s="34">
        <f t="shared" si="1"/>
        <v>88</v>
      </c>
      <c r="J64" s="31" t="s">
        <v>1706</v>
      </c>
      <c r="K64" s="46" t="s">
        <v>850</v>
      </c>
    </row>
    <row r="65" spans="1:11" ht="33.950000000000003" customHeight="1" x14ac:dyDescent="0.25">
      <c r="A65" s="35">
        <v>64</v>
      </c>
      <c r="B65" s="35" t="s">
        <v>438</v>
      </c>
      <c r="C65" s="35" t="s">
        <v>12</v>
      </c>
      <c r="D65" s="35" t="s">
        <v>1849</v>
      </c>
      <c r="E65" s="45" t="s">
        <v>1850</v>
      </c>
      <c r="F65" s="18">
        <v>88</v>
      </c>
      <c r="G65" s="19">
        <v>87</v>
      </c>
      <c r="H65" s="19">
        <v>85</v>
      </c>
      <c r="I65" s="36">
        <f t="shared" si="1"/>
        <v>87</v>
      </c>
      <c r="J65" s="35" t="s">
        <v>1706</v>
      </c>
      <c r="K65" s="46" t="s">
        <v>850</v>
      </c>
    </row>
    <row r="66" spans="1:11" ht="33.950000000000003" customHeight="1" x14ac:dyDescent="0.25">
      <c r="A66" s="31">
        <v>65</v>
      </c>
      <c r="B66" s="31" t="s">
        <v>1083</v>
      </c>
      <c r="C66" s="31" t="s">
        <v>18</v>
      </c>
      <c r="D66" s="31" t="s">
        <v>1761</v>
      </c>
      <c r="E66" s="44" t="s">
        <v>1851</v>
      </c>
      <c r="F66" s="32">
        <v>88</v>
      </c>
      <c r="G66" s="33">
        <v>87</v>
      </c>
      <c r="H66" s="33">
        <v>85</v>
      </c>
      <c r="I66" s="34">
        <f t="shared" ref="I66:I97" si="2">ROUND(F66*0.55+G66*0.3+H66*0.15,0)</f>
        <v>87</v>
      </c>
      <c r="J66" s="31" t="s">
        <v>1706</v>
      </c>
      <c r="K66" s="43" t="s">
        <v>16</v>
      </c>
    </row>
    <row r="67" spans="1:11" ht="33.950000000000003" customHeight="1" x14ac:dyDescent="0.25">
      <c r="A67" s="35">
        <v>66</v>
      </c>
      <c r="B67" s="35" t="s">
        <v>1852</v>
      </c>
      <c r="C67" s="35" t="s">
        <v>270</v>
      </c>
      <c r="D67" s="35" t="s">
        <v>1761</v>
      </c>
      <c r="E67" s="45" t="s">
        <v>1762</v>
      </c>
      <c r="F67" s="18">
        <v>88</v>
      </c>
      <c r="G67" s="19">
        <v>87</v>
      </c>
      <c r="H67" s="19">
        <v>85</v>
      </c>
      <c r="I67" s="36">
        <f t="shared" si="2"/>
        <v>87</v>
      </c>
      <c r="J67" s="35" t="s">
        <v>1706</v>
      </c>
      <c r="K67" s="46" t="s">
        <v>850</v>
      </c>
    </row>
    <row r="68" spans="1:11" ht="33.950000000000003" customHeight="1" x14ac:dyDescent="0.25">
      <c r="A68" s="31">
        <v>67</v>
      </c>
      <c r="B68" s="31" t="s">
        <v>257</v>
      </c>
      <c r="C68" s="31" t="s">
        <v>270</v>
      </c>
      <c r="D68" s="31" t="s">
        <v>1761</v>
      </c>
      <c r="E68" s="44" t="s">
        <v>1853</v>
      </c>
      <c r="F68" s="32">
        <v>88</v>
      </c>
      <c r="G68" s="33">
        <v>87</v>
      </c>
      <c r="H68" s="33">
        <v>85</v>
      </c>
      <c r="I68" s="34">
        <f t="shared" si="2"/>
        <v>87</v>
      </c>
      <c r="J68" s="31" t="s">
        <v>1706</v>
      </c>
      <c r="K68" s="43" t="s">
        <v>16</v>
      </c>
    </row>
    <row r="69" spans="1:11" ht="33.950000000000003" customHeight="1" x14ac:dyDescent="0.25">
      <c r="A69" s="35">
        <v>68</v>
      </c>
      <c r="B69" s="35" t="s">
        <v>1854</v>
      </c>
      <c r="C69" s="35" t="s">
        <v>1855</v>
      </c>
      <c r="D69" s="35" t="s">
        <v>1761</v>
      </c>
      <c r="E69" s="44" t="s">
        <v>1856</v>
      </c>
      <c r="F69" s="18">
        <v>88</v>
      </c>
      <c r="G69" s="19">
        <v>87</v>
      </c>
      <c r="H69" s="19">
        <v>85</v>
      </c>
      <c r="I69" s="36">
        <f t="shared" si="2"/>
        <v>87</v>
      </c>
      <c r="J69" s="35" t="s">
        <v>1706</v>
      </c>
      <c r="K69" s="43" t="s">
        <v>16</v>
      </c>
    </row>
    <row r="70" spans="1:11" ht="33.950000000000003" customHeight="1" x14ac:dyDescent="0.25">
      <c r="A70" s="31">
        <v>69</v>
      </c>
      <c r="B70" s="31" t="s">
        <v>1857</v>
      </c>
      <c r="C70" s="31" t="s">
        <v>37</v>
      </c>
      <c r="D70" s="31" t="s">
        <v>1761</v>
      </c>
      <c r="E70" s="45" t="s">
        <v>1762</v>
      </c>
      <c r="F70" s="32">
        <v>88</v>
      </c>
      <c r="G70" s="33">
        <v>87</v>
      </c>
      <c r="H70" s="33">
        <v>85</v>
      </c>
      <c r="I70" s="34">
        <f t="shared" si="2"/>
        <v>87</v>
      </c>
      <c r="J70" s="31" t="s">
        <v>1706</v>
      </c>
      <c r="K70" s="46" t="s">
        <v>850</v>
      </c>
    </row>
    <row r="71" spans="1:11" ht="33.950000000000003" customHeight="1" x14ac:dyDescent="0.25">
      <c r="A71" s="35">
        <v>70</v>
      </c>
      <c r="B71" s="35" t="s">
        <v>192</v>
      </c>
      <c r="C71" s="35" t="s">
        <v>23</v>
      </c>
      <c r="D71" s="35" t="s">
        <v>1858</v>
      </c>
      <c r="E71" s="45" t="s">
        <v>1859</v>
      </c>
      <c r="F71" s="18">
        <v>88</v>
      </c>
      <c r="G71" s="19">
        <v>87</v>
      </c>
      <c r="H71" s="19">
        <v>85</v>
      </c>
      <c r="I71" s="36">
        <f t="shared" si="2"/>
        <v>87</v>
      </c>
      <c r="J71" s="35" t="s">
        <v>1706</v>
      </c>
      <c r="K71" s="46" t="s">
        <v>850</v>
      </c>
    </row>
    <row r="72" spans="1:11" ht="33.950000000000003" customHeight="1" x14ac:dyDescent="0.25">
      <c r="A72" s="31">
        <v>71</v>
      </c>
      <c r="B72" s="31" t="s">
        <v>1860</v>
      </c>
      <c r="C72" s="31" t="s">
        <v>733</v>
      </c>
      <c r="D72" s="31" t="s">
        <v>1729</v>
      </c>
      <c r="E72" s="45" t="s">
        <v>1861</v>
      </c>
      <c r="F72" s="32">
        <v>88</v>
      </c>
      <c r="G72" s="33">
        <v>87</v>
      </c>
      <c r="H72" s="33">
        <v>85</v>
      </c>
      <c r="I72" s="34">
        <f t="shared" si="2"/>
        <v>87</v>
      </c>
      <c r="J72" s="31" t="s">
        <v>1706</v>
      </c>
      <c r="K72" s="46" t="s">
        <v>850</v>
      </c>
    </row>
    <row r="73" spans="1:11" ht="33.950000000000003" customHeight="1" x14ac:dyDescent="0.25">
      <c r="A73" s="35">
        <v>72</v>
      </c>
      <c r="B73" s="35" t="s">
        <v>1862</v>
      </c>
      <c r="C73" s="35" t="s">
        <v>1123</v>
      </c>
      <c r="D73" s="35" t="s">
        <v>1729</v>
      </c>
      <c r="E73" s="45" t="s">
        <v>1861</v>
      </c>
      <c r="F73" s="18">
        <v>88</v>
      </c>
      <c r="G73" s="19">
        <v>87</v>
      </c>
      <c r="H73" s="19">
        <v>85</v>
      </c>
      <c r="I73" s="36">
        <f t="shared" si="2"/>
        <v>87</v>
      </c>
      <c r="J73" s="35" t="s">
        <v>1706</v>
      </c>
      <c r="K73" s="46" t="s">
        <v>850</v>
      </c>
    </row>
    <row r="74" spans="1:11" ht="33.950000000000003" customHeight="1" x14ac:dyDescent="0.25">
      <c r="A74" s="31">
        <v>73</v>
      </c>
      <c r="B74" s="31" t="s">
        <v>1863</v>
      </c>
      <c r="C74" s="31" t="s">
        <v>18</v>
      </c>
      <c r="D74" s="31" t="s">
        <v>1729</v>
      </c>
      <c r="E74" s="45" t="s">
        <v>1861</v>
      </c>
      <c r="F74" s="32">
        <v>88</v>
      </c>
      <c r="G74" s="33">
        <v>87</v>
      </c>
      <c r="H74" s="33">
        <v>85</v>
      </c>
      <c r="I74" s="34">
        <f t="shared" si="2"/>
        <v>87</v>
      </c>
      <c r="J74" s="31" t="s">
        <v>1706</v>
      </c>
      <c r="K74" s="46" t="s">
        <v>850</v>
      </c>
    </row>
    <row r="75" spans="1:11" ht="33.950000000000003" customHeight="1" x14ac:dyDescent="0.25">
      <c r="A75" s="35">
        <v>74</v>
      </c>
      <c r="B75" s="35" t="s">
        <v>1864</v>
      </c>
      <c r="C75" s="35" t="s">
        <v>12</v>
      </c>
      <c r="D75" s="35" t="s">
        <v>1865</v>
      </c>
      <c r="E75" s="45" t="s">
        <v>1866</v>
      </c>
      <c r="F75" s="18">
        <v>88</v>
      </c>
      <c r="G75" s="19">
        <v>87</v>
      </c>
      <c r="H75" s="19">
        <v>85</v>
      </c>
      <c r="I75" s="36">
        <f t="shared" si="2"/>
        <v>87</v>
      </c>
      <c r="J75" s="35" t="s">
        <v>1706</v>
      </c>
      <c r="K75" s="46" t="s">
        <v>850</v>
      </c>
    </row>
    <row r="76" spans="1:11" ht="33.950000000000003" customHeight="1" x14ac:dyDescent="0.25">
      <c r="A76" s="31">
        <v>75</v>
      </c>
      <c r="B76" s="31" t="s">
        <v>1867</v>
      </c>
      <c r="C76" s="31" t="s">
        <v>18</v>
      </c>
      <c r="D76" s="31" t="s">
        <v>1868</v>
      </c>
      <c r="E76" s="45" t="s">
        <v>1869</v>
      </c>
      <c r="F76" s="32">
        <v>88</v>
      </c>
      <c r="G76" s="33">
        <v>87</v>
      </c>
      <c r="H76" s="33">
        <v>85</v>
      </c>
      <c r="I76" s="34">
        <f t="shared" si="2"/>
        <v>87</v>
      </c>
      <c r="J76" s="31" t="s">
        <v>1706</v>
      </c>
      <c r="K76" s="46" t="s">
        <v>850</v>
      </c>
    </row>
    <row r="77" spans="1:11" ht="33.950000000000003" customHeight="1" x14ac:dyDescent="0.25">
      <c r="A77" s="35">
        <v>76</v>
      </c>
      <c r="B77" s="35" t="s">
        <v>1870</v>
      </c>
      <c r="C77" s="35" t="s">
        <v>238</v>
      </c>
      <c r="D77" s="35" t="s">
        <v>1871</v>
      </c>
      <c r="E77" s="45" t="s">
        <v>1872</v>
      </c>
      <c r="F77" s="18">
        <v>88</v>
      </c>
      <c r="G77" s="19">
        <v>87</v>
      </c>
      <c r="H77" s="19">
        <v>85</v>
      </c>
      <c r="I77" s="36">
        <f t="shared" si="2"/>
        <v>87</v>
      </c>
      <c r="J77" s="35" t="s">
        <v>1706</v>
      </c>
      <c r="K77" s="46" t="s">
        <v>850</v>
      </c>
    </row>
    <row r="78" spans="1:11" ht="33.950000000000003" customHeight="1" x14ac:dyDescent="0.25">
      <c r="A78" s="31">
        <v>77</v>
      </c>
      <c r="B78" s="31" t="s">
        <v>1873</v>
      </c>
      <c r="C78" s="31" t="s">
        <v>96</v>
      </c>
      <c r="D78" s="31" t="s">
        <v>1874</v>
      </c>
      <c r="E78" s="45" t="s">
        <v>1875</v>
      </c>
      <c r="F78" s="32">
        <v>87</v>
      </c>
      <c r="G78" s="33">
        <v>86</v>
      </c>
      <c r="H78" s="33">
        <v>84</v>
      </c>
      <c r="I78" s="34">
        <f t="shared" si="2"/>
        <v>86</v>
      </c>
      <c r="J78" s="31" t="s">
        <v>1706</v>
      </c>
      <c r="K78" s="46" t="s">
        <v>850</v>
      </c>
    </row>
    <row r="79" spans="1:11" ht="33.950000000000003" customHeight="1" x14ac:dyDescent="0.25">
      <c r="A79" s="35">
        <v>78</v>
      </c>
      <c r="B79" s="35" t="s">
        <v>1876</v>
      </c>
      <c r="C79" s="35" t="s">
        <v>96</v>
      </c>
      <c r="D79" s="35" t="s">
        <v>1877</v>
      </c>
      <c r="E79" s="45" t="s">
        <v>1878</v>
      </c>
      <c r="F79" s="18">
        <v>87</v>
      </c>
      <c r="G79" s="19">
        <v>86</v>
      </c>
      <c r="H79" s="19">
        <v>84</v>
      </c>
      <c r="I79" s="36">
        <f t="shared" si="2"/>
        <v>86</v>
      </c>
      <c r="J79" s="35" t="s">
        <v>1706</v>
      </c>
      <c r="K79" s="46" t="s">
        <v>850</v>
      </c>
    </row>
    <row r="80" spans="1:11" ht="33.950000000000003" customHeight="1" x14ac:dyDescent="0.25">
      <c r="A80" s="31">
        <v>79</v>
      </c>
      <c r="B80" s="31" t="s">
        <v>1879</v>
      </c>
      <c r="C80" s="31" t="s">
        <v>96</v>
      </c>
      <c r="D80" s="31" t="s">
        <v>1880</v>
      </c>
      <c r="E80" s="45" t="s">
        <v>1881</v>
      </c>
      <c r="F80" s="32">
        <v>87</v>
      </c>
      <c r="G80" s="33">
        <v>86</v>
      </c>
      <c r="H80" s="33">
        <v>84</v>
      </c>
      <c r="I80" s="34">
        <f t="shared" si="2"/>
        <v>86</v>
      </c>
      <c r="J80" s="31" t="s">
        <v>1706</v>
      </c>
      <c r="K80" s="46" t="s">
        <v>850</v>
      </c>
    </row>
    <row r="81" spans="1:11" ht="33.950000000000003" customHeight="1" x14ac:dyDescent="0.25">
      <c r="A81" s="35">
        <v>80</v>
      </c>
      <c r="B81" s="35" t="s">
        <v>1882</v>
      </c>
      <c r="C81" s="35" t="s">
        <v>96</v>
      </c>
      <c r="D81" s="35" t="s">
        <v>1883</v>
      </c>
      <c r="E81" s="45" t="s">
        <v>1884</v>
      </c>
      <c r="F81" s="18">
        <v>87</v>
      </c>
      <c r="G81" s="19">
        <v>86</v>
      </c>
      <c r="H81" s="19">
        <v>84</v>
      </c>
      <c r="I81" s="36">
        <f t="shared" si="2"/>
        <v>86</v>
      </c>
      <c r="J81" s="35" t="s">
        <v>1706</v>
      </c>
      <c r="K81" s="46" t="s">
        <v>850</v>
      </c>
    </row>
    <row r="82" spans="1:11" ht="33.950000000000003" customHeight="1" x14ac:dyDescent="0.25">
      <c r="A82" s="31">
        <v>81</v>
      </c>
      <c r="B82" s="31" t="s">
        <v>1885</v>
      </c>
      <c r="C82" s="31" t="s">
        <v>37</v>
      </c>
      <c r="D82" s="31" t="s">
        <v>1886</v>
      </c>
      <c r="E82" s="45" t="s">
        <v>1887</v>
      </c>
      <c r="F82" s="32">
        <v>86</v>
      </c>
      <c r="G82" s="33">
        <v>86</v>
      </c>
      <c r="H82" s="33">
        <v>92</v>
      </c>
      <c r="I82" s="34">
        <f t="shared" si="2"/>
        <v>87</v>
      </c>
      <c r="J82" s="31" t="s">
        <v>1706</v>
      </c>
      <c r="K82" s="46" t="s">
        <v>850</v>
      </c>
    </row>
    <row r="83" spans="1:11" ht="33.950000000000003" customHeight="1" x14ac:dyDescent="0.25">
      <c r="A83" s="35">
        <v>82</v>
      </c>
      <c r="B83" s="35" t="s">
        <v>1888</v>
      </c>
      <c r="C83" s="35" t="s">
        <v>62</v>
      </c>
      <c r="D83" s="35" t="s">
        <v>1889</v>
      </c>
      <c r="E83" s="45" t="s">
        <v>1890</v>
      </c>
      <c r="F83" s="18">
        <v>86</v>
      </c>
      <c r="G83" s="19">
        <v>86</v>
      </c>
      <c r="H83" s="19">
        <v>92</v>
      </c>
      <c r="I83" s="36">
        <f t="shared" si="2"/>
        <v>87</v>
      </c>
      <c r="J83" s="35" t="s">
        <v>1706</v>
      </c>
      <c r="K83" s="46" t="s">
        <v>850</v>
      </c>
    </row>
    <row r="84" spans="1:11" ht="33.950000000000003" customHeight="1" x14ac:dyDescent="0.25">
      <c r="A84" s="31">
        <v>83</v>
      </c>
      <c r="B84" s="31" t="s">
        <v>1891</v>
      </c>
      <c r="C84" s="31" t="s">
        <v>531</v>
      </c>
      <c r="D84" s="31" t="s">
        <v>1892</v>
      </c>
      <c r="E84" s="45" t="s">
        <v>1893</v>
      </c>
      <c r="F84" s="32">
        <v>86</v>
      </c>
      <c r="G84" s="33">
        <v>86</v>
      </c>
      <c r="H84" s="33">
        <v>92</v>
      </c>
      <c r="I84" s="34">
        <f t="shared" si="2"/>
        <v>87</v>
      </c>
      <c r="J84" s="31" t="s">
        <v>1706</v>
      </c>
      <c r="K84" s="46" t="s">
        <v>850</v>
      </c>
    </row>
    <row r="85" spans="1:11" ht="33.950000000000003" customHeight="1" x14ac:dyDescent="0.25">
      <c r="A85" s="35">
        <v>84</v>
      </c>
      <c r="B85" s="35" t="s">
        <v>1894</v>
      </c>
      <c r="C85" s="35" t="s">
        <v>37</v>
      </c>
      <c r="D85" s="35" t="s">
        <v>1895</v>
      </c>
      <c r="E85" s="45" t="s">
        <v>1896</v>
      </c>
      <c r="F85" s="18">
        <v>86</v>
      </c>
      <c r="G85" s="19">
        <v>86</v>
      </c>
      <c r="H85" s="19">
        <v>92</v>
      </c>
      <c r="I85" s="36">
        <f t="shared" si="2"/>
        <v>87</v>
      </c>
      <c r="J85" s="35" t="s">
        <v>1706</v>
      </c>
      <c r="K85" s="46" t="s">
        <v>850</v>
      </c>
    </row>
    <row r="86" spans="1:11" ht="33.950000000000003" customHeight="1" x14ac:dyDescent="0.25">
      <c r="A86" s="31">
        <v>85</v>
      </c>
      <c r="B86" s="31" t="s">
        <v>1897</v>
      </c>
      <c r="C86" s="31" t="s">
        <v>137</v>
      </c>
      <c r="D86" s="31" t="s">
        <v>1898</v>
      </c>
      <c r="E86" s="45" t="s">
        <v>1899</v>
      </c>
      <c r="F86" s="32">
        <v>86</v>
      </c>
      <c r="G86" s="33">
        <v>86</v>
      </c>
      <c r="H86" s="33">
        <v>92</v>
      </c>
      <c r="I86" s="34">
        <f t="shared" si="2"/>
        <v>87</v>
      </c>
      <c r="J86" s="31" t="s">
        <v>1706</v>
      </c>
      <c r="K86" s="46" t="s">
        <v>850</v>
      </c>
    </row>
    <row r="87" spans="1:11" ht="33.950000000000003" customHeight="1" x14ac:dyDescent="0.25">
      <c r="A87" s="35">
        <v>86</v>
      </c>
      <c r="B87" s="35" t="s">
        <v>1900</v>
      </c>
      <c r="C87" s="35" t="s">
        <v>37</v>
      </c>
      <c r="D87" s="35" t="s">
        <v>1901</v>
      </c>
      <c r="E87" s="45" t="s">
        <v>1902</v>
      </c>
      <c r="F87" s="18">
        <v>86</v>
      </c>
      <c r="G87" s="19">
        <v>86</v>
      </c>
      <c r="H87" s="19">
        <v>92</v>
      </c>
      <c r="I87" s="36">
        <f t="shared" si="2"/>
        <v>87</v>
      </c>
      <c r="J87" s="35" t="s">
        <v>1706</v>
      </c>
      <c r="K87" s="46" t="s">
        <v>850</v>
      </c>
    </row>
    <row r="88" spans="1:11" ht="33.950000000000003" customHeight="1" x14ac:dyDescent="0.25">
      <c r="A88" s="31">
        <v>87</v>
      </c>
      <c r="B88" s="31" t="s">
        <v>1903</v>
      </c>
      <c r="C88" s="31" t="s">
        <v>37</v>
      </c>
      <c r="D88" s="31" t="s">
        <v>1904</v>
      </c>
      <c r="E88" s="45" t="s">
        <v>1905</v>
      </c>
      <c r="F88" s="32">
        <v>86</v>
      </c>
      <c r="G88" s="33">
        <v>86</v>
      </c>
      <c r="H88" s="33">
        <v>92</v>
      </c>
      <c r="I88" s="34">
        <f t="shared" si="2"/>
        <v>87</v>
      </c>
      <c r="J88" s="31" t="s">
        <v>1706</v>
      </c>
      <c r="K88" s="46" t="s">
        <v>850</v>
      </c>
    </row>
    <row r="89" spans="1:11" ht="33.950000000000003" customHeight="1" x14ac:dyDescent="0.25">
      <c r="A89" s="35">
        <v>88</v>
      </c>
      <c r="B89" s="35" t="s">
        <v>1906</v>
      </c>
      <c r="C89" s="35" t="s">
        <v>862</v>
      </c>
      <c r="D89" s="35" t="s">
        <v>1907</v>
      </c>
      <c r="E89" s="45" t="s">
        <v>1908</v>
      </c>
      <c r="F89" s="18">
        <v>86</v>
      </c>
      <c r="G89" s="19">
        <v>86</v>
      </c>
      <c r="H89" s="19">
        <v>92</v>
      </c>
      <c r="I89" s="36">
        <f t="shared" si="2"/>
        <v>87</v>
      </c>
      <c r="J89" s="35" t="s">
        <v>1706</v>
      </c>
      <c r="K89" s="46" t="s">
        <v>850</v>
      </c>
    </row>
    <row r="90" spans="1:11" ht="33.950000000000003" customHeight="1" x14ac:dyDescent="0.25">
      <c r="A90" s="31">
        <v>89</v>
      </c>
      <c r="B90" s="31" t="s">
        <v>1909</v>
      </c>
      <c r="C90" s="31" t="s">
        <v>18</v>
      </c>
      <c r="D90" s="31" t="s">
        <v>1910</v>
      </c>
      <c r="E90" s="45" t="s">
        <v>1911</v>
      </c>
      <c r="F90" s="32">
        <v>86</v>
      </c>
      <c r="G90" s="33">
        <v>86</v>
      </c>
      <c r="H90" s="33">
        <v>92</v>
      </c>
      <c r="I90" s="34">
        <f t="shared" si="2"/>
        <v>87</v>
      </c>
      <c r="J90" s="31" t="s">
        <v>1706</v>
      </c>
      <c r="K90" s="46" t="s">
        <v>850</v>
      </c>
    </row>
    <row r="91" spans="1:11" ht="33.950000000000003" customHeight="1" x14ac:dyDescent="0.25">
      <c r="A91" s="35">
        <v>90</v>
      </c>
      <c r="B91" s="35" t="s">
        <v>1912</v>
      </c>
      <c r="C91" s="35" t="s">
        <v>380</v>
      </c>
      <c r="D91" s="35" t="s">
        <v>1913</v>
      </c>
      <c r="E91" s="45" t="s">
        <v>1914</v>
      </c>
      <c r="F91" s="18">
        <v>85</v>
      </c>
      <c r="G91" s="19">
        <v>85</v>
      </c>
      <c r="H91" s="19">
        <v>91</v>
      </c>
      <c r="I91" s="36">
        <f t="shared" si="2"/>
        <v>86</v>
      </c>
      <c r="J91" s="35" t="s">
        <v>1706</v>
      </c>
      <c r="K91" s="46" t="s">
        <v>850</v>
      </c>
    </row>
    <row r="92" spans="1:11" ht="33.950000000000003" customHeight="1" x14ac:dyDescent="0.25">
      <c r="A92" s="31">
        <v>91</v>
      </c>
      <c r="B92" s="31" t="s">
        <v>1915</v>
      </c>
      <c r="C92" s="31" t="s">
        <v>18</v>
      </c>
      <c r="D92" s="31" t="s">
        <v>1916</v>
      </c>
      <c r="E92" s="45" t="s">
        <v>1917</v>
      </c>
      <c r="F92" s="32">
        <v>85</v>
      </c>
      <c r="G92" s="33">
        <v>85</v>
      </c>
      <c r="H92" s="33">
        <v>91</v>
      </c>
      <c r="I92" s="34">
        <f t="shared" si="2"/>
        <v>86</v>
      </c>
      <c r="J92" s="31" t="s">
        <v>1706</v>
      </c>
      <c r="K92" s="46" t="s">
        <v>850</v>
      </c>
    </row>
    <row r="93" spans="1:11" ht="33.950000000000003" customHeight="1" x14ac:dyDescent="0.25">
      <c r="A93" s="35">
        <v>92</v>
      </c>
      <c r="B93" s="35" t="s">
        <v>1918</v>
      </c>
      <c r="C93" s="35" t="s">
        <v>18</v>
      </c>
      <c r="D93" s="35" t="s">
        <v>1919</v>
      </c>
      <c r="E93" s="45" t="s">
        <v>1920</v>
      </c>
      <c r="F93" s="18">
        <v>85</v>
      </c>
      <c r="G93" s="19">
        <v>85</v>
      </c>
      <c r="H93" s="19">
        <v>91</v>
      </c>
      <c r="I93" s="36">
        <f t="shared" si="2"/>
        <v>86</v>
      </c>
      <c r="J93" s="35" t="s">
        <v>1706</v>
      </c>
      <c r="K93" s="46" t="s">
        <v>850</v>
      </c>
    </row>
    <row r="94" spans="1:11" ht="33.950000000000003" customHeight="1" x14ac:dyDescent="0.25">
      <c r="A94" s="31">
        <v>93</v>
      </c>
      <c r="B94" s="31" t="s">
        <v>1921</v>
      </c>
      <c r="C94" s="31" t="s">
        <v>18</v>
      </c>
      <c r="D94" s="31" t="s">
        <v>1922</v>
      </c>
      <c r="E94" s="45" t="s">
        <v>1923</v>
      </c>
      <c r="F94" s="32">
        <v>85</v>
      </c>
      <c r="G94" s="33">
        <v>85</v>
      </c>
      <c r="H94" s="33">
        <v>91</v>
      </c>
      <c r="I94" s="34">
        <f t="shared" si="2"/>
        <v>86</v>
      </c>
      <c r="J94" s="31" t="s">
        <v>1706</v>
      </c>
      <c r="K94" s="46" t="s">
        <v>850</v>
      </c>
    </row>
    <row r="95" spans="1:11" ht="33.950000000000003" customHeight="1" x14ac:dyDescent="0.25">
      <c r="A95" s="35">
        <v>94</v>
      </c>
      <c r="B95" s="35" t="s">
        <v>1924</v>
      </c>
      <c r="C95" s="35" t="s">
        <v>18</v>
      </c>
      <c r="D95" s="35" t="s">
        <v>1925</v>
      </c>
      <c r="E95" s="45" t="s">
        <v>1926</v>
      </c>
      <c r="F95" s="18">
        <v>85</v>
      </c>
      <c r="G95" s="19">
        <v>85</v>
      </c>
      <c r="H95" s="19">
        <v>91</v>
      </c>
      <c r="I95" s="36">
        <f t="shared" si="2"/>
        <v>86</v>
      </c>
      <c r="J95" s="35" t="s">
        <v>1706</v>
      </c>
      <c r="K95" s="46" t="s">
        <v>850</v>
      </c>
    </row>
    <row r="96" spans="1:11" ht="33.950000000000003" customHeight="1" x14ac:dyDescent="0.25">
      <c r="A96" s="31">
        <v>95</v>
      </c>
      <c r="B96" s="31" t="s">
        <v>1927</v>
      </c>
      <c r="C96" s="31" t="s">
        <v>18</v>
      </c>
      <c r="D96" s="31" t="s">
        <v>1711</v>
      </c>
      <c r="E96" s="45" t="s">
        <v>1928</v>
      </c>
      <c r="F96" s="32">
        <v>85</v>
      </c>
      <c r="G96" s="33">
        <v>85</v>
      </c>
      <c r="H96" s="33">
        <v>91</v>
      </c>
      <c r="I96" s="34">
        <f t="shared" si="2"/>
        <v>86</v>
      </c>
      <c r="J96" s="31" t="s">
        <v>1706</v>
      </c>
      <c r="K96" s="46" t="s">
        <v>850</v>
      </c>
    </row>
    <row r="97" spans="1:11" ht="33.950000000000003" customHeight="1" x14ac:dyDescent="0.25">
      <c r="A97" s="35">
        <v>96</v>
      </c>
      <c r="B97" s="35" t="s">
        <v>1929</v>
      </c>
      <c r="C97" s="35" t="s">
        <v>18</v>
      </c>
      <c r="D97" s="35" t="s">
        <v>1930</v>
      </c>
      <c r="E97" s="45" t="s">
        <v>1931</v>
      </c>
      <c r="F97" s="18">
        <v>85</v>
      </c>
      <c r="G97" s="19">
        <v>85</v>
      </c>
      <c r="H97" s="19">
        <v>91</v>
      </c>
      <c r="I97" s="36">
        <f t="shared" si="2"/>
        <v>86</v>
      </c>
      <c r="J97" s="35" t="s">
        <v>1706</v>
      </c>
      <c r="K97" s="46" t="s">
        <v>850</v>
      </c>
    </row>
    <row r="98" spans="1:11" ht="33.950000000000003" customHeight="1" x14ac:dyDescent="0.25">
      <c r="A98" s="31">
        <v>97</v>
      </c>
      <c r="B98" s="31" t="s">
        <v>1932</v>
      </c>
      <c r="C98" s="31" t="s">
        <v>18</v>
      </c>
      <c r="D98" s="31" t="s">
        <v>1933</v>
      </c>
      <c r="E98" s="45" t="s">
        <v>1934</v>
      </c>
      <c r="F98" s="32">
        <v>85</v>
      </c>
      <c r="G98" s="33">
        <v>85</v>
      </c>
      <c r="H98" s="33">
        <v>91</v>
      </c>
      <c r="I98" s="34">
        <f t="shared" ref="I98:I129" si="3">ROUND(F98*0.55+G98*0.3+H98*0.15,0)</f>
        <v>86</v>
      </c>
      <c r="J98" s="31" t="s">
        <v>1706</v>
      </c>
      <c r="K98" s="46" t="s">
        <v>850</v>
      </c>
    </row>
    <row r="99" spans="1:11" ht="33.950000000000003" customHeight="1" x14ac:dyDescent="0.25">
      <c r="A99" s="35">
        <v>98</v>
      </c>
      <c r="B99" s="35" t="s">
        <v>1935</v>
      </c>
      <c r="C99" s="35" t="s">
        <v>18</v>
      </c>
      <c r="D99" s="35" t="s">
        <v>1936</v>
      </c>
      <c r="E99" s="45" t="s">
        <v>1937</v>
      </c>
      <c r="F99" s="18">
        <v>85</v>
      </c>
      <c r="G99" s="19">
        <v>85</v>
      </c>
      <c r="H99" s="19">
        <v>91</v>
      </c>
      <c r="I99" s="36">
        <f t="shared" si="3"/>
        <v>86</v>
      </c>
      <c r="J99" s="35" t="s">
        <v>1706</v>
      </c>
      <c r="K99" s="46" t="s">
        <v>850</v>
      </c>
    </row>
    <row r="100" spans="1:11" ht="33.950000000000003" customHeight="1" x14ac:dyDescent="0.25">
      <c r="A100" s="31">
        <v>99</v>
      </c>
      <c r="B100" s="31" t="s">
        <v>1938</v>
      </c>
      <c r="C100" s="31" t="s">
        <v>18</v>
      </c>
      <c r="D100" s="31" t="s">
        <v>1939</v>
      </c>
      <c r="E100" s="45" t="s">
        <v>1940</v>
      </c>
      <c r="F100" s="32">
        <v>85</v>
      </c>
      <c r="G100" s="33">
        <v>85</v>
      </c>
      <c r="H100" s="33">
        <v>91</v>
      </c>
      <c r="I100" s="34">
        <f t="shared" si="3"/>
        <v>86</v>
      </c>
      <c r="J100" s="31" t="s">
        <v>1706</v>
      </c>
      <c r="K100" s="46" t="s">
        <v>850</v>
      </c>
    </row>
    <row r="101" spans="1:11" ht="33.950000000000003" customHeight="1" x14ac:dyDescent="0.25">
      <c r="A101" s="35">
        <v>100</v>
      </c>
      <c r="B101" s="35" t="s">
        <v>1941</v>
      </c>
      <c r="C101" s="35" t="s">
        <v>380</v>
      </c>
      <c r="D101" s="35" t="s">
        <v>1942</v>
      </c>
      <c r="E101" s="45" t="s">
        <v>1943</v>
      </c>
      <c r="F101" s="18">
        <v>85</v>
      </c>
      <c r="G101" s="19">
        <v>85</v>
      </c>
      <c r="H101" s="19">
        <v>91</v>
      </c>
      <c r="I101" s="36">
        <f t="shared" si="3"/>
        <v>86</v>
      </c>
      <c r="J101" s="35" t="s">
        <v>1706</v>
      </c>
      <c r="K101" s="46" t="s">
        <v>850</v>
      </c>
    </row>
    <row r="102" spans="1:11" ht="33.950000000000003" customHeight="1" x14ac:dyDescent="0.25">
      <c r="A102" s="31">
        <v>101</v>
      </c>
      <c r="B102" s="31" t="s">
        <v>1944</v>
      </c>
      <c r="C102" s="31" t="s">
        <v>18</v>
      </c>
      <c r="D102" s="31" t="s">
        <v>1945</v>
      </c>
      <c r="E102" s="45" t="s">
        <v>1946</v>
      </c>
      <c r="F102" s="32">
        <v>84</v>
      </c>
      <c r="G102" s="33">
        <v>84</v>
      </c>
      <c r="H102" s="33">
        <v>90</v>
      </c>
      <c r="I102" s="34">
        <f t="shared" si="3"/>
        <v>85</v>
      </c>
      <c r="J102" s="31" t="s">
        <v>1706</v>
      </c>
      <c r="K102" s="46" t="s">
        <v>850</v>
      </c>
    </row>
    <row r="103" spans="1:11" ht="33.950000000000003" customHeight="1" x14ac:dyDescent="0.25">
      <c r="A103" s="35">
        <v>102</v>
      </c>
      <c r="B103" s="35" t="s">
        <v>1947</v>
      </c>
      <c r="C103" s="35" t="s">
        <v>752</v>
      </c>
      <c r="D103" s="35" t="s">
        <v>1948</v>
      </c>
      <c r="E103" s="45" t="s">
        <v>1949</v>
      </c>
      <c r="F103" s="18">
        <v>84</v>
      </c>
      <c r="G103" s="19">
        <v>84</v>
      </c>
      <c r="H103" s="19">
        <v>90</v>
      </c>
      <c r="I103" s="36">
        <f t="shared" si="3"/>
        <v>85</v>
      </c>
      <c r="J103" s="35" t="s">
        <v>1706</v>
      </c>
      <c r="K103" s="46" t="s">
        <v>850</v>
      </c>
    </row>
    <row r="104" spans="1:11" ht="33.950000000000003" customHeight="1" x14ac:dyDescent="0.25">
      <c r="A104" s="31">
        <v>103</v>
      </c>
      <c r="B104" s="31" t="s">
        <v>1950</v>
      </c>
      <c r="C104" s="31" t="s">
        <v>105</v>
      </c>
      <c r="D104" s="31" t="s">
        <v>1951</v>
      </c>
      <c r="E104" s="45" t="s">
        <v>1952</v>
      </c>
      <c r="F104" s="32">
        <v>84</v>
      </c>
      <c r="G104" s="33">
        <v>84</v>
      </c>
      <c r="H104" s="33">
        <v>90</v>
      </c>
      <c r="I104" s="34">
        <f t="shared" si="3"/>
        <v>85</v>
      </c>
      <c r="J104" s="31" t="s">
        <v>1706</v>
      </c>
      <c r="K104" s="46" t="s">
        <v>850</v>
      </c>
    </row>
    <row r="105" spans="1:11" ht="33.950000000000003" customHeight="1" x14ac:dyDescent="0.25">
      <c r="A105" s="35">
        <v>104</v>
      </c>
      <c r="B105" s="35" t="s">
        <v>1953</v>
      </c>
      <c r="C105" s="35" t="s">
        <v>18</v>
      </c>
      <c r="D105" s="35" t="s">
        <v>1954</v>
      </c>
      <c r="E105" s="45" t="s">
        <v>1955</v>
      </c>
      <c r="F105" s="18">
        <v>84</v>
      </c>
      <c r="G105" s="19">
        <v>84</v>
      </c>
      <c r="H105" s="19">
        <v>90</v>
      </c>
      <c r="I105" s="36">
        <f t="shared" si="3"/>
        <v>85</v>
      </c>
      <c r="J105" s="35" t="s">
        <v>1706</v>
      </c>
      <c r="K105" s="46" t="s">
        <v>850</v>
      </c>
    </row>
    <row r="106" spans="1:11" ht="33.950000000000003" customHeight="1" x14ac:dyDescent="0.25">
      <c r="A106" s="31">
        <v>105</v>
      </c>
      <c r="B106" s="31" t="s">
        <v>1956</v>
      </c>
      <c r="C106" s="31" t="s">
        <v>18</v>
      </c>
      <c r="D106" s="31" t="s">
        <v>1957</v>
      </c>
      <c r="E106" s="45" t="s">
        <v>1958</v>
      </c>
      <c r="F106" s="32">
        <v>84</v>
      </c>
      <c r="G106" s="33">
        <v>84</v>
      </c>
      <c r="H106" s="33">
        <v>90</v>
      </c>
      <c r="I106" s="34">
        <f t="shared" si="3"/>
        <v>85</v>
      </c>
      <c r="J106" s="31" t="s">
        <v>1706</v>
      </c>
      <c r="K106" s="46" t="s">
        <v>850</v>
      </c>
    </row>
    <row r="107" spans="1:11" ht="33.950000000000003" customHeight="1" x14ac:dyDescent="0.25">
      <c r="A107" s="35">
        <v>106</v>
      </c>
      <c r="B107" s="35" t="s">
        <v>1959</v>
      </c>
      <c r="C107" s="35" t="s">
        <v>18</v>
      </c>
      <c r="D107" s="35" t="s">
        <v>1960</v>
      </c>
      <c r="E107" s="45" t="s">
        <v>1961</v>
      </c>
      <c r="F107" s="18">
        <v>84</v>
      </c>
      <c r="G107" s="19">
        <v>84</v>
      </c>
      <c r="H107" s="19">
        <v>90</v>
      </c>
      <c r="I107" s="36">
        <f t="shared" si="3"/>
        <v>85</v>
      </c>
      <c r="J107" s="35" t="s">
        <v>1706</v>
      </c>
      <c r="K107" s="46" t="s">
        <v>850</v>
      </c>
    </row>
    <row r="108" spans="1:11" ht="33.950000000000003" customHeight="1" x14ac:dyDescent="0.25">
      <c r="A108" s="31">
        <v>107</v>
      </c>
      <c r="B108" s="31" t="s">
        <v>1962</v>
      </c>
      <c r="C108" s="31" t="s">
        <v>18</v>
      </c>
      <c r="D108" s="31" t="s">
        <v>1963</v>
      </c>
      <c r="E108" s="45" t="s">
        <v>1964</v>
      </c>
      <c r="F108" s="32">
        <v>84</v>
      </c>
      <c r="G108" s="33">
        <v>84</v>
      </c>
      <c r="H108" s="33">
        <v>90</v>
      </c>
      <c r="I108" s="34">
        <f t="shared" si="3"/>
        <v>85</v>
      </c>
      <c r="J108" s="31" t="s">
        <v>1706</v>
      </c>
      <c r="K108" s="46" t="s">
        <v>850</v>
      </c>
    </row>
    <row r="109" spans="1:11" ht="33.950000000000003" customHeight="1" x14ac:dyDescent="0.25">
      <c r="A109" s="35">
        <v>108</v>
      </c>
      <c r="B109" s="35" t="s">
        <v>1965</v>
      </c>
      <c r="C109" s="35" t="s">
        <v>28</v>
      </c>
      <c r="D109" s="35" t="s">
        <v>1966</v>
      </c>
      <c r="E109" s="45" t="s">
        <v>1967</v>
      </c>
      <c r="F109" s="18">
        <v>84</v>
      </c>
      <c r="G109" s="19">
        <v>84</v>
      </c>
      <c r="H109" s="19">
        <v>90</v>
      </c>
      <c r="I109" s="36">
        <f t="shared" si="3"/>
        <v>85</v>
      </c>
      <c r="J109" s="35" t="s">
        <v>1706</v>
      </c>
      <c r="K109" s="46" t="s">
        <v>850</v>
      </c>
    </row>
    <row r="110" spans="1:11" ht="33.950000000000003" customHeight="1" x14ac:dyDescent="0.25">
      <c r="A110" s="31">
        <v>109</v>
      </c>
      <c r="B110" s="31" t="s">
        <v>1968</v>
      </c>
      <c r="C110" s="31" t="s">
        <v>18</v>
      </c>
      <c r="D110" s="31" t="s">
        <v>1969</v>
      </c>
      <c r="E110" s="45" t="s">
        <v>1970</v>
      </c>
      <c r="F110" s="32">
        <v>84</v>
      </c>
      <c r="G110" s="33">
        <v>84</v>
      </c>
      <c r="H110" s="33">
        <v>90</v>
      </c>
      <c r="I110" s="34">
        <f t="shared" si="3"/>
        <v>85</v>
      </c>
      <c r="J110" s="31" t="s">
        <v>1706</v>
      </c>
      <c r="K110" s="46" t="s">
        <v>850</v>
      </c>
    </row>
    <row r="111" spans="1:11" ht="33.950000000000003" customHeight="1" x14ac:dyDescent="0.25">
      <c r="A111" s="35">
        <v>110</v>
      </c>
      <c r="B111" s="35" t="s">
        <v>1971</v>
      </c>
      <c r="C111" s="35" t="s">
        <v>238</v>
      </c>
      <c r="D111" s="35" t="s">
        <v>1951</v>
      </c>
      <c r="E111" s="45" t="s">
        <v>1952</v>
      </c>
      <c r="F111" s="18">
        <v>84</v>
      </c>
      <c r="G111" s="19">
        <v>84</v>
      </c>
      <c r="H111" s="19">
        <v>90</v>
      </c>
      <c r="I111" s="36">
        <f t="shared" si="3"/>
        <v>85</v>
      </c>
      <c r="J111" s="35" t="s">
        <v>1706</v>
      </c>
      <c r="K111" s="46" t="s">
        <v>850</v>
      </c>
    </row>
    <row r="112" spans="1:11" ht="33.950000000000003" customHeight="1" x14ac:dyDescent="0.25">
      <c r="A112" s="31">
        <v>111</v>
      </c>
      <c r="B112" s="31" t="s">
        <v>1972</v>
      </c>
      <c r="C112" s="31" t="s">
        <v>1010</v>
      </c>
      <c r="D112" s="31" t="s">
        <v>1973</v>
      </c>
      <c r="E112" s="45" t="s">
        <v>1974</v>
      </c>
      <c r="F112" s="32">
        <v>84</v>
      </c>
      <c r="G112" s="33">
        <v>84</v>
      </c>
      <c r="H112" s="33">
        <v>90</v>
      </c>
      <c r="I112" s="34">
        <f t="shared" si="3"/>
        <v>85</v>
      </c>
      <c r="J112" s="31" t="s">
        <v>1706</v>
      </c>
      <c r="K112" s="46" t="s">
        <v>850</v>
      </c>
    </row>
    <row r="113" spans="1:11" ht="33.950000000000003" customHeight="1" x14ac:dyDescent="0.25">
      <c r="A113" s="35">
        <v>112</v>
      </c>
      <c r="B113" s="35" t="s">
        <v>1975</v>
      </c>
      <c r="C113" s="35" t="s">
        <v>18</v>
      </c>
      <c r="D113" s="35" t="s">
        <v>1976</v>
      </c>
      <c r="E113" s="45" t="s">
        <v>1977</v>
      </c>
      <c r="F113" s="18">
        <v>84</v>
      </c>
      <c r="G113" s="19">
        <v>84</v>
      </c>
      <c r="H113" s="19">
        <v>90</v>
      </c>
      <c r="I113" s="36">
        <f t="shared" si="3"/>
        <v>85</v>
      </c>
      <c r="J113" s="35" t="s">
        <v>1706</v>
      </c>
      <c r="K113" s="46" t="s">
        <v>850</v>
      </c>
    </row>
    <row r="114" spans="1:11" ht="33.950000000000003" customHeight="1" x14ac:dyDescent="0.25">
      <c r="A114" s="31">
        <v>113</v>
      </c>
      <c r="B114" s="31" t="s">
        <v>1978</v>
      </c>
      <c r="C114" s="31" t="s">
        <v>18</v>
      </c>
      <c r="D114" s="31" t="s">
        <v>1979</v>
      </c>
      <c r="E114" s="45" t="s">
        <v>1980</v>
      </c>
      <c r="F114" s="32">
        <v>84</v>
      </c>
      <c r="G114" s="33">
        <v>84</v>
      </c>
      <c r="H114" s="33">
        <v>90</v>
      </c>
      <c r="I114" s="34">
        <f t="shared" si="3"/>
        <v>85</v>
      </c>
      <c r="J114" s="31" t="s">
        <v>1706</v>
      </c>
      <c r="K114" s="46" t="s">
        <v>850</v>
      </c>
    </row>
    <row r="115" spans="1:11" ht="33.950000000000003" customHeight="1" x14ac:dyDescent="0.25">
      <c r="A115" s="35">
        <v>114</v>
      </c>
      <c r="B115" s="35" t="s">
        <v>1981</v>
      </c>
      <c r="C115" s="35" t="s">
        <v>18</v>
      </c>
      <c r="D115" s="35" t="s">
        <v>1982</v>
      </c>
      <c r="E115" s="45" t="s">
        <v>1983</v>
      </c>
      <c r="F115" s="18">
        <v>84</v>
      </c>
      <c r="G115" s="19">
        <v>84</v>
      </c>
      <c r="H115" s="19">
        <v>90</v>
      </c>
      <c r="I115" s="36">
        <f t="shared" si="3"/>
        <v>85</v>
      </c>
      <c r="J115" s="35" t="s">
        <v>1706</v>
      </c>
      <c r="K115" s="46" t="s">
        <v>850</v>
      </c>
    </row>
    <row r="116" spans="1:11" ht="33.950000000000003" customHeight="1" x14ac:dyDescent="0.25">
      <c r="A116" s="31">
        <v>115</v>
      </c>
      <c r="B116" s="31" t="s">
        <v>1984</v>
      </c>
      <c r="C116" s="31" t="s">
        <v>18</v>
      </c>
      <c r="D116" s="31" t="s">
        <v>1985</v>
      </c>
      <c r="E116" s="45" t="s">
        <v>1986</v>
      </c>
      <c r="F116" s="32">
        <v>84</v>
      </c>
      <c r="G116" s="33">
        <v>84</v>
      </c>
      <c r="H116" s="33">
        <v>90</v>
      </c>
      <c r="I116" s="34">
        <f t="shared" si="3"/>
        <v>85</v>
      </c>
      <c r="J116" s="31" t="s">
        <v>1706</v>
      </c>
      <c r="K116" s="46" t="s">
        <v>850</v>
      </c>
    </row>
    <row r="117" spans="1:11" ht="33.950000000000003" customHeight="1" x14ac:dyDescent="0.25">
      <c r="A117" s="35">
        <v>116</v>
      </c>
      <c r="B117" s="35" t="s">
        <v>1987</v>
      </c>
      <c r="C117" s="35" t="s">
        <v>18</v>
      </c>
      <c r="D117" s="35" t="s">
        <v>1988</v>
      </c>
      <c r="E117" s="45" t="s">
        <v>1989</v>
      </c>
      <c r="F117" s="18">
        <v>84</v>
      </c>
      <c r="G117" s="19">
        <v>84</v>
      </c>
      <c r="H117" s="19">
        <v>90</v>
      </c>
      <c r="I117" s="36">
        <f t="shared" si="3"/>
        <v>85</v>
      </c>
      <c r="J117" s="35" t="s">
        <v>1706</v>
      </c>
      <c r="K117" s="46" t="s">
        <v>850</v>
      </c>
    </row>
    <row r="118" spans="1:11" ht="33.950000000000003" customHeight="1" x14ac:dyDescent="0.25">
      <c r="A118" s="31">
        <v>117</v>
      </c>
      <c r="B118" s="31" t="s">
        <v>1990</v>
      </c>
      <c r="C118" s="31" t="s">
        <v>18</v>
      </c>
      <c r="D118" s="31" t="s">
        <v>1991</v>
      </c>
      <c r="E118" s="45" t="s">
        <v>1992</v>
      </c>
      <c r="F118" s="32">
        <v>84</v>
      </c>
      <c r="G118" s="33">
        <v>84</v>
      </c>
      <c r="H118" s="33">
        <v>90</v>
      </c>
      <c r="I118" s="34">
        <f t="shared" si="3"/>
        <v>85</v>
      </c>
      <c r="J118" s="31" t="s">
        <v>1706</v>
      </c>
      <c r="K118" s="46" t="s">
        <v>850</v>
      </c>
    </row>
    <row r="119" spans="1:11" ht="33.950000000000003" customHeight="1" x14ac:dyDescent="0.25">
      <c r="A119" s="35">
        <v>118</v>
      </c>
      <c r="B119" s="35" t="s">
        <v>1993</v>
      </c>
      <c r="C119" s="35" t="s">
        <v>18</v>
      </c>
      <c r="D119" s="35" t="s">
        <v>1994</v>
      </c>
      <c r="E119" s="45" t="s">
        <v>1995</v>
      </c>
      <c r="F119" s="18">
        <v>83</v>
      </c>
      <c r="G119" s="19">
        <v>83</v>
      </c>
      <c r="H119" s="19">
        <v>89</v>
      </c>
      <c r="I119" s="36">
        <f t="shared" si="3"/>
        <v>84</v>
      </c>
      <c r="J119" s="35" t="s">
        <v>1706</v>
      </c>
      <c r="K119" s="46" t="s">
        <v>850</v>
      </c>
    </row>
    <row r="120" spans="1:11" ht="33.950000000000003" customHeight="1" x14ac:dyDescent="0.25">
      <c r="A120" s="31">
        <v>119</v>
      </c>
      <c r="B120" s="31" t="s">
        <v>1996</v>
      </c>
      <c r="C120" s="31" t="s">
        <v>62</v>
      </c>
      <c r="D120" s="31" t="s">
        <v>1997</v>
      </c>
      <c r="E120" s="45" t="s">
        <v>1998</v>
      </c>
      <c r="F120" s="32">
        <v>83</v>
      </c>
      <c r="G120" s="33">
        <v>83</v>
      </c>
      <c r="H120" s="33">
        <v>89</v>
      </c>
      <c r="I120" s="34">
        <f t="shared" si="3"/>
        <v>84</v>
      </c>
      <c r="J120" s="31" t="s">
        <v>1706</v>
      </c>
      <c r="K120" s="46" t="s">
        <v>850</v>
      </c>
    </row>
    <row r="121" spans="1:11" ht="33.950000000000003" customHeight="1" x14ac:dyDescent="0.25">
      <c r="A121" s="35">
        <v>120</v>
      </c>
      <c r="B121" s="35" t="s">
        <v>1999</v>
      </c>
      <c r="C121" s="35" t="s">
        <v>62</v>
      </c>
      <c r="D121" s="35" t="s">
        <v>1743</v>
      </c>
      <c r="E121" s="45" t="s">
        <v>1744</v>
      </c>
      <c r="F121" s="18">
        <v>83</v>
      </c>
      <c r="G121" s="19">
        <v>83</v>
      </c>
      <c r="H121" s="19">
        <v>89</v>
      </c>
      <c r="I121" s="36">
        <f t="shared" si="3"/>
        <v>84</v>
      </c>
      <c r="J121" s="35" t="s">
        <v>1706</v>
      </c>
      <c r="K121" s="46" t="s">
        <v>850</v>
      </c>
    </row>
    <row r="122" spans="1:11" ht="33.950000000000003" customHeight="1" x14ac:dyDescent="0.25">
      <c r="A122" s="31">
        <v>121</v>
      </c>
      <c r="B122" s="31" t="s">
        <v>2000</v>
      </c>
      <c r="C122" s="31" t="s">
        <v>62</v>
      </c>
      <c r="D122" s="31" t="s">
        <v>2001</v>
      </c>
      <c r="E122" s="45" t="s">
        <v>2002</v>
      </c>
      <c r="F122" s="32">
        <v>83</v>
      </c>
      <c r="G122" s="33">
        <v>83</v>
      </c>
      <c r="H122" s="33">
        <v>89</v>
      </c>
      <c r="I122" s="34">
        <f t="shared" si="3"/>
        <v>84</v>
      </c>
      <c r="J122" s="31" t="s">
        <v>1706</v>
      </c>
      <c r="K122" s="46" t="s">
        <v>850</v>
      </c>
    </row>
    <row r="123" spans="1:11" ht="33.950000000000003" customHeight="1" x14ac:dyDescent="0.25">
      <c r="A123" s="35">
        <v>122</v>
      </c>
      <c r="B123" s="35" t="s">
        <v>2003</v>
      </c>
      <c r="C123" s="35" t="s">
        <v>752</v>
      </c>
      <c r="D123" s="35" t="s">
        <v>1743</v>
      </c>
      <c r="E123" s="45" t="s">
        <v>1744</v>
      </c>
      <c r="F123" s="18">
        <v>83</v>
      </c>
      <c r="G123" s="19">
        <v>83</v>
      </c>
      <c r="H123" s="19">
        <v>89</v>
      </c>
      <c r="I123" s="36">
        <f t="shared" si="3"/>
        <v>84</v>
      </c>
      <c r="J123" s="35" t="s">
        <v>1706</v>
      </c>
      <c r="K123" s="46" t="s">
        <v>850</v>
      </c>
    </row>
    <row r="124" spans="1:11" ht="33.950000000000003" customHeight="1" x14ac:dyDescent="0.25">
      <c r="A124" s="31">
        <v>123</v>
      </c>
      <c r="B124" s="31" t="s">
        <v>2004</v>
      </c>
      <c r="C124" s="31" t="s">
        <v>238</v>
      </c>
      <c r="D124" s="31" t="s">
        <v>2005</v>
      </c>
      <c r="E124" s="45" t="s">
        <v>2006</v>
      </c>
      <c r="F124" s="32">
        <v>83</v>
      </c>
      <c r="G124" s="33">
        <v>83</v>
      </c>
      <c r="H124" s="33">
        <v>89</v>
      </c>
      <c r="I124" s="34">
        <f t="shared" si="3"/>
        <v>84</v>
      </c>
      <c r="J124" s="31" t="s">
        <v>1706</v>
      </c>
      <c r="K124" s="46" t="s">
        <v>850</v>
      </c>
    </row>
    <row r="125" spans="1:11" ht="33.950000000000003" customHeight="1" x14ac:dyDescent="0.25">
      <c r="A125" s="35">
        <v>124</v>
      </c>
      <c r="B125" s="35" t="s">
        <v>126</v>
      </c>
      <c r="C125" s="35" t="s">
        <v>18</v>
      </c>
      <c r="D125" s="35" t="s">
        <v>2007</v>
      </c>
      <c r="E125" s="45" t="s">
        <v>2008</v>
      </c>
      <c r="F125" s="18">
        <v>83</v>
      </c>
      <c r="G125" s="19">
        <v>83</v>
      </c>
      <c r="H125" s="19">
        <v>89</v>
      </c>
      <c r="I125" s="36">
        <f t="shared" si="3"/>
        <v>84</v>
      </c>
      <c r="J125" s="35" t="s">
        <v>1706</v>
      </c>
      <c r="K125" s="46" t="s">
        <v>850</v>
      </c>
    </row>
    <row r="126" spans="1:11" ht="33.950000000000003" customHeight="1" x14ac:dyDescent="0.25">
      <c r="A126" s="31">
        <v>125</v>
      </c>
      <c r="B126" s="31" t="s">
        <v>2009</v>
      </c>
      <c r="C126" s="31" t="s">
        <v>270</v>
      </c>
      <c r="D126" s="31" t="s">
        <v>2010</v>
      </c>
      <c r="E126" s="45" t="s">
        <v>2011</v>
      </c>
      <c r="F126" s="32">
        <v>83</v>
      </c>
      <c r="G126" s="33">
        <v>83</v>
      </c>
      <c r="H126" s="33">
        <v>89</v>
      </c>
      <c r="I126" s="34">
        <f t="shared" si="3"/>
        <v>84</v>
      </c>
      <c r="J126" s="31" t="s">
        <v>1706</v>
      </c>
      <c r="K126" s="46" t="s">
        <v>850</v>
      </c>
    </row>
    <row r="127" spans="1:11" ht="33.950000000000003" customHeight="1" x14ac:dyDescent="0.25">
      <c r="A127" s="35">
        <v>126</v>
      </c>
      <c r="B127" s="35" t="s">
        <v>2012</v>
      </c>
      <c r="C127" s="35" t="s">
        <v>18</v>
      </c>
      <c r="D127" s="35" t="s">
        <v>2013</v>
      </c>
      <c r="E127" s="45" t="s">
        <v>2014</v>
      </c>
      <c r="F127" s="18">
        <v>83</v>
      </c>
      <c r="G127" s="19">
        <v>83</v>
      </c>
      <c r="H127" s="19">
        <v>89</v>
      </c>
      <c r="I127" s="36">
        <f t="shared" si="3"/>
        <v>84</v>
      </c>
      <c r="J127" s="35" t="s">
        <v>1706</v>
      </c>
      <c r="K127" s="46" t="s">
        <v>850</v>
      </c>
    </row>
    <row r="128" spans="1:11" ht="33.950000000000003" customHeight="1" x14ac:dyDescent="0.25">
      <c r="A128" s="31">
        <v>127</v>
      </c>
      <c r="B128" s="31" t="s">
        <v>456</v>
      </c>
      <c r="C128" s="31" t="s">
        <v>238</v>
      </c>
      <c r="D128" s="31" t="s">
        <v>1768</v>
      </c>
      <c r="E128" s="45" t="s">
        <v>1769</v>
      </c>
      <c r="F128" s="32">
        <v>83</v>
      </c>
      <c r="G128" s="33">
        <v>83</v>
      </c>
      <c r="H128" s="33">
        <v>89</v>
      </c>
      <c r="I128" s="34">
        <f t="shared" si="3"/>
        <v>84</v>
      </c>
      <c r="J128" s="31" t="s">
        <v>1706</v>
      </c>
      <c r="K128" s="46" t="s">
        <v>850</v>
      </c>
    </row>
    <row r="129" spans="1:11" ht="33.950000000000003" customHeight="1" x14ac:dyDescent="0.25">
      <c r="A129" s="35">
        <v>128</v>
      </c>
      <c r="B129" s="35" t="s">
        <v>228</v>
      </c>
      <c r="C129" s="35" t="s">
        <v>37</v>
      </c>
      <c r="D129" s="35" t="s">
        <v>2015</v>
      </c>
      <c r="E129" s="45" t="s">
        <v>2016</v>
      </c>
      <c r="F129" s="18">
        <v>83</v>
      </c>
      <c r="G129" s="19">
        <v>83</v>
      </c>
      <c r="H129" s="19">
        <v>89</v>
      </c>
      <c r="I129" s="36">
        <f t="shared" si="3"/>
        <v>84</v>
      </c>
      <c r="J129" s="35" t="s">
        <v>1706</v>
      </c>
      <c r="K129" s="46" t="s">
        <v>850</v>
      </c>
    </row>
    <row r="130" spans="1:11" ht="33.950000000000003" customHeight="1" x14ac:dyDescent="0.25">
      <c r="A130" s="31">
        <v>129</v>
      </c>
      <c r="B130" s="31" t="s">
        <v>2017</v>
      </c>
      <c r="C130" s="31" t="s">
        <v>137</v>
      </c>
      <c r="D130" s="31" t="s">
        <v>2018</v>
      </c>
      <c r="E130" s="45" t="s">
        <v>2019</v>
      </c>
      <c r="F130" s="32">
        <v>83</v>
      </c>
      <c r="G130" s="33">
        <v>83</v>
      </c>
      <c r="H130" s="33">
        <v>89</v>
      </c>
      <c r="I130" s="34">
        <f t="shared" ref="I130:I161" si="4">ROUND(F130*0.55+G130*0.3+H130*0.15,0)</f>
        <v>84</v>
      </c>
      <c r="J130" s="31" t="s">
        <v>1706</v>
      </c>
      <c r="K130" s="46" t="s">
        <v>850</v>
      </c>
    </row>
    <row r="131" spans="1:11" ht="33.950000000000003" customHeight="1" x14ac:dyDescent="0.25">
      <c r="A131" s="35">
        <v>130</v>
      </c>
      <c r="B131" s="35" t="s">
        <v>2020</v>
      </c>
      <c r="C131" s="35" t="s">
        <v>62</v>
      </c>
      <c r="D131" s="35" t="s">
        <v>1729</v>
      </c>
      <c r="E131" s="45" t="s">
        <v>1861</v>
      </c>
      <c r="F131" s="18">
        <v>83</v>
      </c>
      <c r="G131" s="19">
        <v>83</v>
      </c>
      <c r="H131" s="19">
        <v>89</v>
      </c>
      <c r="I131" s="36">
        <f t="shared" si="4"/>
        <v>84</v>
      </c>
      <c r="J131" s="35" t="s">
        <v>1706</v>
      </c>
      <c r="K131" s="46" t="s">
        <v>850</v>
      </c>
    </row>
    <row r="132" spans="1:11" ht="33.950000000000003" customHeight="1" x14ac:dyDescent="0.25">
      <c r="A132" s="31">
        <v>131</v>
      </c>
      <c r="B132" s="31" t="s">
        <v>2021</v>
      </c>
      <c r="C132" s="31" t="s">
        <v>1066</v>
      </c>
      <c r="D132" s="31" t="s">
        <v>2022</v>
      </c>
      <c r="E132" s="45" t="s">
        <v>2023</v>
      </c>
      <c r="F132" s="32">
        <v>83</v>
      </c>
      <c r="G132" s="33">
        <v>83</v>
      </c>
      <c r="H132" s="33">
        <v>89</v>
      </c>
      <c r="I132" s="34">
        <f t="shared" si="4"/>
        <v>84</v>
      </c>
      <c r="J132" s="31" t="s">
        <v>1706</v>
      </c>
      <c r="K132" s="46" t="s">
        <v>850</v>
      </c>
    </row>
    <row r="133" spans="1:11" ht="33.950000000000003" customHeight="1" x14ac:dyDescent="0.25">
      <c r="A133" s="35">
        <v>132</v>
      </c>
      <c r="B133" s="35" t="s">
        <v>2024</v>
      </c>
      <c r="C133" s="35" t="s">
        <v>2025</v>
      </c>
      <c r="D133" s="35" t="s">
        <v>2026</v>
      </c>
      <c r="E133" s="45" t="s">
        <v>2027</v>
      </c>
      <c r="F133" s="18">
        <v>83</v>
      </c>
      <c r="G133" s="19">
        <v>83</v>
      </c>
      <c r="H133" s="19">
        <v>89</v>
      </c>
      <c r="I133" s="36">
        <f t="shared" si="4"/>
        <v>84</v>
      </c>
      <c r="J133" s="35" t="s">
        <v>1706</v>
      </c>
      <c r="K133" s="46" t="s">
        <v>850</v>
      </c>
    </row>
    <row r="134" spans="1:11" ht="33.950000000000003" customHeight="1" x14ac:dyDescent="0.25">
      <c r="A134" s="31">
        <v>133</v>
      </c>
      <c r="B134" s="31" t="s">
        <v>2028</v>
      </c>
      <c r="C134" s="31" t="s">
        <v>1092</v>
      </c>
      <c r="D134" s="31" t="s">
        <v>2029</v>
      </c>
      <c r="E134" s="45" t="s">
        <v>2030</v>
      </c>
      <c r="F134" s="32">
        <v>83</v>
      </c>
      <c r="G134" s="33">
        <v>83</v>
      </c>
      <c r="H134" s="33">
        <v>89</v>
      </c>
      <c r="I134" s="34">
        <f t="shared" si="4"/>
        <v>84</v>
      </c>
      <c r="J134" s="31" t="s">
        <v>1706</v>
      </c>
      <c r="K134" s="46" t="s">
        <v>850</v>
      </c>
    </row>
    <row r="135" spans="1:11" ht="33.950000000000003" customHeight="1" x14ac:dyDescent="0.25">
      <c r="A135" s="35">
        <v>134</v>
      </c>
      <c r="B135" s="35" t="s">
        <v>2031</v>
      </c>
      <c r="C135" s="35" t="s">
        <v>37</v>
      </c>
      <c r="D135" s="35" t="s">
        <v>2032</v>
      </c>
      <c r="E135" s="45" t="s">
        <v>2033</v>
      </c>
      <c r="F135" s="18">
        <v>83</v>
      </c>
      <c r="G135" s="19">
        <v>83</v>
      </c>
      <c r="H135" s="19">
        <v>89</v>
      </c>
      <c r="I135" s="36">
        <f t="shared" si="4"/>
        <v>84</v>
      </c>
      <c r="J135" s="35" t="s">
        <v>1706</v>
      </c>
      <c r="K135" s="46" t="s">
        <v>850</v>
      </c>
    </row>
    <row r="136" spans="1:11" ht="33.950000000000003" customHeight="1" x14ac:dyDescent="0.25">
      <c r="A136" s="31">
        <v>135</v>
      </c>
      <c r="B136" s="31" t="s">
        <v>2034</v>
      </c>
      <c r="C136" s="31" t="s">
        <v>380</v>
      </c>
      <c r="D136" s="31" t="s">
        <v>2035</v>
      </c>
      <c r="E136" s="45" t="s">
        <v>2036</v>
      </c>
      <c r="F136" s="32">
        <v>82</v>
      </c>
      <c r="G136" s="33">
        <v>82</v>
      </c>
      <c r="H136" s="33">
        <v>88</v>
      </c>
      <c r="I136" s="34">
        <f t="shared" si="4"/>
        <v>83</v>
      </c>
      <c r="J136" s="31" t="s">
        <v>1706</v>
      </c>
      <c r="K136" s="46" t="s">
        <v>850</v>
      </c>
    </row>
    <row r="137" spans="1:11" ht="33.950000000000003" customHeight="1" x14ac:dyDescent="0.25">
      <c r="A137" s="35">
        <v>136</v>
      </c>
      <c r="B137" s="35" t="s">
        <v>419</v>
      </c>
      <c r="C137" s="35" t="s">
        <v>113</v>
      </c>
      <c r="D137" s="35" t="s">
        <v>2037</v>
      </c>
      <c r="E137" s="45" t="s">
        <v>2038</v>
      </c>
      <c r="F137" s="18">
        <v>82</v>
      </c>
      <c r="G137" s="19">
        <v>82</v>
      </c>
      <c r="H137" s="19">
        <v>88</v>
      </c>
      <c r="I137" s="36">
        <f t="shared" si="4"/>
        <v>83</v>
      </c>
      <c r="J137" s="35" t="s">
        <v>1706</v>
      </c>
      <c r="K137" s="46" t="s">
        <v>850</v>
      </c>
    </row>
    <row r="138" spans="1:11" ht="33.950000000000003" customHeight="1" x14ac:dyDescent="0.25">
      <c r="A138" s="31">
        <v>137</v>
      </c>
      <c r="B138" s="31" t="s">
        <v>2039</v>
      </c>
      <c r="C138" s="31" t="s">
        <v>137</v>
      </c>
      <c r="D138" s="31" t="s">
        <v>1761</v>
      </c>
      <c r="E138" s="45" t="s">
        <v>1762</v>
      </c>
      <c r="F138" s="32">
        <v>82</v>
      </c>
      <c r="G138" s="33">
        <v>82</v>
      </c>
      <c r="H138" s="33">
        <v>88</v>
      </c>
      <c r="I138" s="34">
        <f t="shared" si="4"/>
        <v>83</v>
      </c>
      <c r="J138" s="31" t="s">
        <v>1706</v>
      </c>
      <c r="K138" s="46" t="s">
        <v>850</v>
      </c>
    </row>
    <row r="139" spans="1:11" ht="33.950000000000003" customHeight="1" x14ac:dyDescent="0.25">
      <c r="A139" s="35">
        <v>138</v>
      </c>
      <c r="B139" s="35" t="s">
        <v>2040</v>
      </c>
      <c r="C139" s="35" t="s">
        <v>1227</v>
      </c>
      <c r="D139" s="35" t="s">
        <v>2041</v>
      </c>
      <c r="E139" s="45" t="s">
        <v>2042</v>
      </c>
      <c r="F139" s="18">
        <v>82</v>
      </c>
      <c r="G139" s="19">
        <v>82</v>
      </c>
      <c r="H139" s="19">
        <v>88</v>
      </c>
      <c r="I139" s="36">
        <f t="shared" si="4"/>
        <v>83</v>
      </c>
      <c r="J139" s="35" t="s">
        <v>1706</v>
      </c>
      <c r="K139" s="46" t="s">
        <v>850</v>
      </c>
    </row>
    <row r="140" spans="1:11" ht="33.950000000000003" customHeight="1" x14ac:dyDescent="0.25">
      <c r="A140" s="31">
        <v>139</v>
      </c>
      <c r="B140" s="31" t="s">
        <v>2043</v>
      </c>
      <c r="C140" s="31" t="s">
        <v>122</v>
      </c>
      <c r="D140" s="31" t="s">
        <v>2044</v>
      </c>
      <c r="E140" s="45" t="s">
        <v>2045</v>
      </c>
      <c r="F140" s="32">
        <v>82</v>
      </c>
      <c r="G140" s="33">
        <v>82</v>
      </c>
      <c r="H140" s="33">
        <v>88</v>
      </c>
      <c r="I140" s="34">
        <f t="shared" si="4"/>
        <v>83</v>
      </c>
      <c r="J140" s="31" t="s">
        <v>1706</v>
      </c>
      <c r="K140" s="46" t="s">
        <v>850</v>
      </c>
    </row>
    <row r="141" spans="1:11" ht="33.950000000000003" customHeight="1" x14ac:dyDescent="0.25">
      <c r="A141" s="35">
        <v>140</v>
      </c>
      <c r="B141" s="35" t="s">
        <v>2046</v>
      </c>
      <c r="C141" s="35" t="s">
        <v>304</v>
      </c>
      <c r="D141" s="35" t="s">
        <v>2047</v>
      </c>
      <c r="E141" s="45" t="s">
        <v>2048</v>
      </c>
      <c r="F141" s="18">
        <v>82</v>
      </c>
      <c r="G141" s="19">
        <v>82</v>
      </c>
      <c r="H141" s="19">
        <v>88</v>
      </c>
      <c r="I141" s="36">
        <f t="shared" si="4"/>
        <v>83</v>
      </c>
      <c r="J141" s="35" t="s">
        <v>1706</v>
      </c>
      <c r="K141" s="46" t="s">
        <v>850</v>
      </c>
    </row>
    <row r="142" spans="1:11" ht="33.950000000000003" customHeight="1" x14ac:dyDescent="0.25">
      <c r="A142" s="31">
        <v>141</v>
      </c>
      <c r="B142" s="31" t="s">
        <v>2049</v>
      </c>
      <c r="C142" s="31" t="s">
        <v>62</v>
      </c>
      <c r="D142" s="31" t="s">
        <v>2050</v>
      </c>
      <c r="E142" s="45" t="s">
        <v>2051</v>
      </c>
      <c r="F142" s="32">
        <v>82</v>
      </c>
      <c r="G142" s="33">
        <v>82</v>
      </c>
      <c r="H142" s="33">
        <v>88</v>
      </c>
      <c r="I142" s="34">
        <f t="shared" si="4"/>
        <v>83</v>
      </c>
      <c r="J142" s="31" t="s">
        <v>1706</v>
      </c>
      <c r="K142" s="46" t="s">
        <v>850</v>
      </c>
    </row>
    <row r="143" spans="1:11" ht="33.950000000000003" customHeight="1" x14ac:dyDescent="0.25">
      <c r="A143" s="35">
        <v>142</v>
      </c>
      <c r="B143" s="35" t="s">
        <v>2052</v>
      </c>
      <c r="C143" s="35" t="s">
        <v>1227</v>
      </c>
      <c r="D143" s="35" t="s">
        <v>1844</v>
      </c>
      <c r="E143" s="45" t="s">
        <v>2053</v>
      </c>
      <c r="F143" s="18">
        <v>82</v>
      </c>
      <c r="G143" s="19">
        <v>82</v>
      </c>
      <c r="H143" s="19">
        <v>88</v>
      </c>
      <c r="I143" s="36">
        <f t="shared" si="4"/>
        <v>83</v>
      </c>
      <c r="J143" s="35" t="s">
        <v>1706</v>
      </c>
      <c r="K143" s="46" t="s">
        <v>850</v>
      </c>
    </row>
    <row r="144" spans="1:11" ht="33.950000000000003" customHeight="1" x14ac:dyDescent="0.25">
      <c r="A144" s="31">
        <v>143</v>
      </c>
      <c r="B144" s="31" t="s">
        <v>2054</v>
      </c>
      <c r="C144" s="31" t="s">
        <v>62</v>
      </c>
      <c r="D144" s="31" t="s">
        <v>2055</v>
      </c>
      <c r="E144" s="45" t="s">
        <v>2056</v>
      </c>
      <c r="F144" s="32">
        <v>82</v>
      </c>
      <c r="G144" s="33">
        <v>82</v>
      </c>
      <c r="H144" s="33">
        <v>88</v>
      </c>
      <c r="I144" s="34">
        <f t="shared" si="4"/>
        <v>83</v>
      </c>
      <c r="J144" s="31" t="s">
        <v>1706</v>
      </c>
      <c r="K144" s="46" t="s">
        <v>850</v>
      </c>
    </row>
    <row r="145" spans="1:11" ht="33.950000000000003" customHeight="1" x14ac:dyDescent="0.25">
      <c r="A145" s="35">
        <v>144</v>
      </c>
      <c r="B145" s="35" t="s">
        <v>1630</v>
      </c>
      <c r="C145" s="35" t="s">
        <v>96</v>
      </c>
      <c r="D145" s="35" t="s">
        <v>1844</v>
      </c>
      <c r="E145" s="45" t="s">
        <v>2053</v>
      </c>
      <c r="F145" s="18">
        <v>82</v>
      </c>
      <c r="G145" s="19">
        <v>82</v>
      </c>
      <c r="H145" s="19">
        <v>88</v>
      </c>
      <c r="I145" s="36">
        <f t="shared" si="4"/>
        <v>83</v>
      </c>
      <c r="J145" s="35" t="s">
        <v>1706</v>
      </c>
      <c r="K145" s="46" t="s">
        <v>850</v>
      </c>
    </row>
    <row r="146" spans="1:11" ht="33.950000000000003" customHeight="1" x14ac:dyDescent="0.25">
      <c r="A146" s="31">
        <v>145</v>
      </c>
      <c r="B146" s="31" t="s">
        <v>2057</v>
      </c>
      <c r="C146" s="31" t="s">
        <v>18</v>
      </c>
      <c r="D146" s="31" t="s">
        <v>1844</v>
      </c>
      <c r="E146" s="45" t="s">
        <v>2053</v>
      </c>
      <c r="F146" s="32">
        <v>82</v>
      </c>
      <c r="G146" s="33">
        <v>82</v>
      </c>
      <c r="H146" s="33">
        <v>88</v>
      </c>
      <c r="I146" s="34">
        <f t="shared" si="4"/>
        <v>83</v>
      </c>
      <c r="J146" s="31" t="s">
        <v>1706</v>
      </c>
      <c r="K146" s="46" t="s">
        <v>850</v>
      </c>
    </row>
    <row r="147" spans="1:11" ht="33.950000000000003" customHeight="1" x14ac:dyDescent="0.25">
      <c r="A147" s="35">
        <v>146</v>
      </c>
      <c r="B147" s="35" t="s">
        <v>1456</v>
      </c>
      <c r="C147" s="35" t="s">
        <v>18</v>
      </c>
      <c r="D147" s="35" t="s">
        <v>1844</v>
      </c>
      <c r="E147" s="45" t="s">
        <v>2053</v>
      </c>
      <c r="F147" s="18">
        <v>82</v>
      </c>
      <c r="G147" s="19">
        <v>82</v>
      </c>
      <c r="H147" s="19">
        <v>88</v>
      </c>
      <c r="I147" s="36">
        <f t="shared" si="4"/>
        <v>83</v>
      </c>
      <c r="J147" s="35" t="s">
        <v>1706</v>
      </c>
      <c r="K147" s="46" t="s">
        <v>850</v>
      </c>
    </row>
    <row r="148" spans="1:11" ht="33.950000000000003" customHeight="1" x14ac:dyDescent="0.25">
      <c r="A148" s="31">
        <v>147</v>
      </c>
      <c r="B148" s="31" t="s">
        <v>2058</v>
      </c>
      <c r="C148" s="31" t="s">
        <v>37</v>
      </c>
      <c r="D148" s="31" t="s">
        <v>2059</v>
      </c>
      <c r="E148" s="45" t="s">
        <v>2060</v>
      </c>
      <c r="F148" s="32">
        <v>82</v>
      </c>
      <c r="G148" s="33">
        <v>82</v>
      </c>
      <c r="H148" s="33">
        <v>88</v>
      </c>
      <c r="I148" s="34">
        <f t="shared" si="4"/>
        <v>83</v>
      </c>
      <c r="J148" s="31" t="s">
        <v>1706</v>
      </c>
      <c r="K148" s="46" t="s">
        <v>850</v>
      </c>
    </row>
    <row r="149" spans="1:11" ht="33.950000000000003" customHeight="1" x14ac:dyDescent="0.25">
      <c r="A149" s="35">
        <v>148</v>
      </c>
      <c r="B149" s="35" t="s">
        <v>2061</v>
      </c>
      <c r="C149" s="35" t="s">
        <v>733</v>
      </c>
      <c r="D149" s="35" t="s">
        <v>2062</v>
      </c>
      <c r="E149" s="45" t="s">
        <v>2063</v>
      </c>
      <c r="F149" s="18">
        <v>82</v>
      </c>
      <c r="G149" s="19">
        <v>82</v>
      </c>
      <c r="H149" s="19">
        <v>88</v>
      </c>
      <c r="I149" s="36">
        <f t="shared" si="4"/>
        <v>83</v>
      </c>
      <c r="J149" s="35" t="s">
        <v>1706</v>
      </c>
      <c r="K149" s="46" t="s">
        <v>850</v>
      </c>
    </row>
    <row r="150" spans="1:11" ht="33.950000000000003" customHeight="1" x14ac:dyDescent="0.25">
      <c r="A150" s="31">
        <v>149</v>
      </c>
      <c r="B150" s="31" t="s">
        <v>2064</v>
      </c>
      <c r="C150" s="31" t="s">
        <v>238</v>
      </c>
      <c r="D150" s="31" t="s">
        <v>2065</v>
      </c>
      <c r="E150" s="45" t="s">
        <v>2066</v>
      </c>
      <c r="F150" s="32">
        <v>82</v>
      </c>
      <c r="G150" s="33">
        <v>82</v>
      </c>
      <c r="H150" s="33">
        <v>88</v>
      </c>
      <c r="I150" s="34">
        <f t="shared" si="4"/>
        <v>83</v>
      </c>
      <c r="J150" s="31" t="s">
        <v>1706</v>
      </c>
      <c r="K150" s="46" t="s">
        <v>850</v>
      </c>
    </row>
    <row r="151" spans="1:11" ht="33.950000000000003" customHeight="1" x14ac:dyDescent="0.25">
      <c r="A151" s="35">
        <v>150</v>
      </c>
      <c r="B151" s="35" t="s">
        <v>2067</v>
      </c>
      <c r="C151" s="35" t="s">
        <v>18</v>
      </c>
      <c r="D151" s="35" t="s">
        <v>2068</v>
      </c>
      <c r="E151" s="45" t="s">
        <v>2069</v>
      </c>
      <c r="F151" s="18">
        <v>82</v>
      </c>
      <c r="G151" s="19">
        <v>82</v>
      </c>
      <c r="H151" s="19">
        <v>88</v>
      </c>
      <c r="I151" s="36">
        <f t="shared" si="4"/>
        <v>83</v>
      </c>
      <c r="J151" s="35" t="s">
        <v>1706</v>
      </c>
      <c r="K151" s="46" t="s">
        <v>850</v>
      </c>
    </row>
    <row r="152" spans="1:11" ht="33.950000000000003" customHeight="1" x14ac:dyDescent="0.25">
      <c r="A152" s="31">
        <v>151</v>
      </c>
      <c r="B152" s="31" t="s">
        <v>2070</v>
      </c>
      <c r="C152" s="31" t="s">
        <v>514</v>
      </c>
      <c r="D152" s="31" t="s">
        <v>2071</v>
      </c>
      <c r="E152" s="45" t="s">
        <v>2072</v>
      </c>
      <c r="F152" s="32">
        <v>81</v>
      </c>
      <c r="G152" s="33">
        <v>81</v>
      </c>
      <c r="H152" s="33">
        <v>87</v>
      </c>
      <c r="I152" s="34">
        <f t="shared" si="4"/>
        <v>82</v>
      </c>
      <c r="J152" s="31" t="s">
        <v>1706</v>
      </c>
      <c r="K152" s="46" t="s">
        <v>850</v>
      </c>
    </row>
    <row r="153" spans="1:11" ht="33.950000000000003" customHeight="1" x14ac:dyDescent="0.25">
      <c r="A153" s="35">
        <v>152</v>
      </c>
      <c r="B153" s="35" t="s">
        <v>2073</v>
      </c>
      <c r="C153" s="35" t="s">
        <v>304</v>
      </c>
      <c r="D153" s="35" t="s">
        <v>2074</v>
      </c>
      <c r="E153" s="45" t="s">
        <v>2075</v>
      </c>
      <c r="F153" s="18">
        <v>81</v>
      </c>
      <c r="G153" s="19">
        <v>81</v>
      </c>
      <c r="H153" s="19">
        <v>87</v>
      </c>
      <c r="I153" s="36">
        <f t="shared" si="4"/>
        <v>82</v>
      </c>
      <c r="J153" s="35" t="s">
        <v>1706</v>
      </c>
      <c r="K153" s="46" t="s">
        <v>850</v>
      </c>
    </row>
    <row r="154" spans="1:11" ht="33.950000000000003" customHeight="1" x14ac:dyDescent="0.25">
      <c r="A154" s="31">
        <v>153</v>
      </c>
      <c r="B154" s="31" t="s">
        <v>2076</v>
      </c>
      <c r="C154" s="31" t="s">
        <v>37</v>
      </c>
      <c r="D154" s="31" t="s">
        <v>2077</v>
      </c>
      <c r="E154" s="45" t="s">
        <v>2078</v>
      </c>
      <c r="F154" s="32">
        <v>81</v>
      </c>
      <c r="G154" s="33">
        <v>81</v>
      </c>
      <c r="H154" s="33">
        <v>87</v>
      </c>
      <c r="I154" s="34">
        <f t="shared" si="4"/>
        <v>82</v>
      </c>
      <c r="J154" s="31" t="s">
        <v>1706</v>
      </c>
      <c r="K154" s="46" t="s">
        <v>850</v>
      </c>
    </row>
    <row r="155" spans="1:11" ht="33.950000000000003" customHeight="1" x14ac:dyDescent="0.25">
      <c r="A155" s="35">
        <v>154</v>
      </c>
      <c r="B155" s="35" t="s">
        <v>2079</v>
      </c>
      <c r="C155" s="35" t="s">
        <v>18</v>
      </c>
      <c r="D155" s="35" t="s">
        <v>2080</v>
      </c>
      <c r="E155" s="45" t="s">
        <v>2081</v>
      </c>
      <c r="F155" s="18">
        <v>81</v>
      </c>
      <c r="G155" s="19">
        <v>81</v>
      </c>
      <c r="H155" s="19">
        <v>87</v>
      </c>
      <c r="I155" s="36">
        <f t="shared" si="4"/>
        <v>82</v>
      </c>
      <c r="J155" s="35" t="s">
        <v>1706</v>
      </c>
      <c r="K155" s="46" t="s">
        <v>850</v>
      </c>
    </row>
    <row r="156" spans="1:11" ht="33.950000000000003" customHeight="1" x14ac:dyDescent="0.25">
      <c r="A156" s="31">
        <v>155</v>
      </c>
      <c r="B156" s="31" t="s">
        <v>2082</v>
      </c>
      <c r="C156" s="31" t="s">
        <v>62</v>
      </c>
      <c r="D156" s="31" t="s">
        <v>2080</v>
      </c>
      <c r="E156" s="45" t="s">
        <v>2081</v>
      </c>
      <c r="F156" s="32">
        <v>81</v>
      </c>
      <c r="G156" s="33">
        <v>81</v>
      </c>
      <c r="H156" s="33">
        <v>87</v>
      </c>
      <c r="I156" s="34">
        <f t="shared" si="4"/>
        <v>82</v>
      </c>
      <c r="J156" s="31" t="s">
        <v>1706</v>
      </c>
      <c r="K156" s="46" t="s">
        <v>850</v>
      </c>
    </row>
    <row r="157" spans="1:11" ht="33.950000000000003" customHeight="1" x14ac:dyDescent="0.25">
      <c r="A157" s="35">
        <v>156</v>
      </c>
      <c r="B157" s="35" t="s">
        <v>2083</v>
      </c>
      <c r="C157" s="35" t="s">
        <v>96</v>
      </c>
      <c r="D157" s="35" t="s">
        <v>2084</v>
      </c>
      <c r="E157" s="45" t="s">
        <v>2085</v>
      </c>
      <c r="F157" s="18">
        <v>81</v>
      </c>
      <c r="G157" s="19">
        <v>81</v>
      </c>
      <c r="H157" s="19">
        <v>87</v>
      </c>
      <c r="I157" s="36">
        <f t="shared" si="4"/>
        <v>82</v>
      </c>
      <c r="J157" s="35" t="s">
        <v>1706</v>
      </c>
      <c r="K157" s="46" t="s">
        <v>850</v>
      </c>
    </row>
    <row r="158" spans="1:11" ht="33.950000000000003" customHeight="1" x14ac:dyDescent="0.25">
      <c r="A158" s="31">
        <v>157</v>
      </c>
      <c r="B158" s="31" t="s">
        <v>2086</v>
      </c>
      <c r="C158" s="31" t="s">
        <v>18</v>
      </c>
      <c r="D158" s="31" t="s">
        <v>2087</v>
      </c>
      <c r="E158" s="45" t="s">
        <v>2088</v>
      </c>
      <c r="F158" s="32">
        <v>81</v>
      </c>
      <c r="G158" s="33">
        <v>81</v>
      </c>
      <c r="H158" s="33">
        <v>87</v>
      </c>
      <c r="I158" s="34">
        <f t="shared" si="4"/>
        <v>82</v>
      </c>
      <c r="J158" s="31" t="s">
        <v>1706</v>
      </c>
      <c r="K158" s="46" t="s">
        <v>850</v>
      </c>
    </row>
    <row r="159" spans="1:11" ht="33.950000000000003" customHeight="1" x14ac:dyDescent="0.25">
      <c r="A159" s="35">
        <v>158</v>
      </c>
      <c r="B159" s="35" t="s">
        <v>2089</v>
      </c>
      <c r="C159" s="35" t="s">
        <v>238</v>
      </c>
      <c r="D159" s="35" t="s">
        <v>2090</v>
      </c>
      <c r="E159" s="45" t="s">
        <v>2091</v>
      </c>
      <c r="F159" s="18">
        <v>81</v>
      </c>
      <c r="G159" s="19">
        <v>81</v>
      </c>
      <c r="H159" s="19">
        <v>87</v>
      </c>
      <c r="I159" s="36">
        <f t="shared" si="4"/>
        <v>82</v>
      </c>
      <c r="J159" s="35" t="s">
        <v>1706</v>
      </c>
      <c r="K159" s="46" t="s">
        <v>850</v>
      </c>
    </row>
    <row r="160" spans="1:11" ht="33.950000000000003" customHeight="1" x14ac:dyDescent="0.25">
      <c r="A160" s="31">
        <v>159</v>
      </c>
      <c r="B160" s="31" t="s">
        <v>756</v>
      </c>
      <c r="C160" s="31" t="s">
        <v>37</v>
      </c>
      <c r="D160" s="31" t="s">
        <v>2092</v>
      </c>
      <c r="E160" s="45" t="s">
        <v>2093</v>
      </c>
      <c r="F160" s="32">
        <v>81</v>
      </c>
      <c r="G160" s="33">
        <v>81</v>
      </c>
      <c r="H160" s="33">
        <v>87</v>
      </c>
      <c r="I160" s="34">
        <f t="shared" si="4"/>
        <v>82</v>
      </c>
      <c r="J160" s="31" t="s">
        <v>1706</v>
      </c>
      <c r="K160" s="46" t="s">
        <v>850</v>
      </c>
    </row>
    <row r="161" spans="1:11" ht="33.950000000000003" customHeight="1" x14ac:dyDescent="0.25">
      <c r="A161" s="35">
        <v>160</v>
      </c>
      <c r="B161" s="35" t="s">
        <v>2094</v>
      </c>
      <c r="C161" s="35" t="s">
        <v>862</v>
      </c>
      <c r="D161" s="35" t="s">
        <v>2095</v>
      </c>
      <c r="E161" s="45" t="s">
        <v>2096</v>
      </c>
      <c r="F161" s="18">
        <v>81</v>
      </c>
      <c r="G161" s="19">
        <v>81</v>
      </c>
      <c r="H161" s="19">
        <v>87</v>
      </c>
      <c r="I161" s="36">
        <f t="shared" si="4"/>
        <v>82</v>
      </c>
      <c r="J161" s="35" t="s">
        <v>1706</v>
      </c>
      <c r="K161" s="46" t="s">
        <v>850</v>
      </c>
    </row>
    <row r="162" spans="1:11" ht="33.950000000000003" customHeight="1" x14ac:dyDescent="0.25">
      <c r="A162" s="31">
        <v>161</v>
      </c>
      <c r="B162" s="31" t="s">
        <v>2097</v>
      </c>
      <c r="C162" s="31" t="s">
        <v>137</v>
      </c>
      <c r="D162" s="31" t="s">
        <v>2098</v>
      </c>
      <c r="E162" s="45" t="s">
        <v>2099</v>
      </c>
      <c r="F162" s="32">
        <v>81</v>
      </c>
      <c r="G162" s="33">
        <v>81</v>
      </c>
      <c r="H162" s="33">
        <v>87</v>
      </c>
      <c r="I162" s="34">
        <f t="shared" ref="I162:I193" si="5">ROUND(F162*0.55+G162*0.3+H162*0.15,0)</f>
        <v>82</v>
      </c>
      <c r="J162" s="31" t="s">
        <v>1706</v>
      </c>
      <c r="K162" s="46" t="s">
        <v>850</v>
      </c>
    </row>
    <row r="163" spans="1:11" ht="33.950000000000003" customHeight="1" x14ac:dyDescent="0.25">
      <c r="A163" s="35">
        <v>162</v>
      </c>
      <c r="B163" s="35" t="s">
        <v>2100</v>
      </c>
      <c r="C163" s="35" t="s">
        <v>62</v>
      </c>
      <c r="D163" s="35" t="s">
        <v>2101</v>
      </c>
      <c r="E163" s="45" t="s">
        <v>2102</v>
      </c>
      <c r="F163" s="18">
        <v>81</v>
      </c>
      <c r="G163" s="19">
        <v>81</v>
      </c>
      <c r="H163" s="19">
        <v>87</v>
      </c>
      <c r="I163" s="36">
        <f t="shared" si="5"/>
        <v>82</v>
      </c>
      <c r="J163" s="35" t="s">
        <v>1706</v>
      </c>
      <c r="K163" s="46" t="s">
        <v>850</v>
      </c>
    </row>
    <row r="164" spans="1:11" ht="33.950000000000003" customHeight="1" x14ac:dyDescent="0.25">
      <c r="A164" s="31">
        <v>163</v>
      </c>
      <c r="B164" s="31" t="s">
        <v>2103</v>
      </c>
      <c r="C164" s="31" t="s">
        <v>62</v>
      </c>
      <c r="D164" s="31" t="s">
        <v>2104</v>
      </c>
      <c r="E164" s="45" t="s">
        <v>2105</v>
      </c>
      <c r="F164" s="32">
        <v>81</v>
      </c>
      <c r="G164" s="33">
        <v>81</v>
      </c>
      <c r="H164" s="33">
        <v>87</v>
      </c>
      <c r="I164" s="34">
        <f t="shared" si="5"/>
        <v>82</v>
      </c>
      <c r="J164" s="31" t="s">
        <v>1706</v>
      </c>
      <c r="K164" s="46" t="s">
        <v>850</v>
      </c>
    </row>
    <row r="165" spans="1:11" ht="33.950000000000003" customHeight="1" x14ac:dyDescent="0.25">
      <c r="A165" s="35">
        <v>164</v>
      </c>
      <c r="B165" s="35" t="s">
        <v>2106</v>
      </c>
      <c r="C165" s="35" t="s">
        <v>62</v>
      </c>
      <c r="D165" s="35" t="s">
        <v>2107</v>
      </c>
      <c r="E165" s="45" t="s">
        <v>2108</v>
      </c>
      <c r="F165" s="18">
        <v>81</v>
      </c>
      <c r="G165" s="19">
        <v>81</v>
      </c>
      <c r="H165" s="19">
        <v>87</v>
      </c>
      <c r="I165" s="36">
        <f t="shared" si="5"/>
        <v>82</v>
      </c>
      <c r="J165" s="35" t="s">
        <v>1706</v>
      </c>
      <c r="K165" s="46" t="s">
        <v>850</v>
      </c>
    </row>
    <row r="166" spans="1:11" ht="33.950000000000003" customHeight="1" x14ac:dyDescent="0.25">
      <c r="A166" s="31">
        <v>165</v>
      </c>
      <c r="B166" s="31" t="s">
        <v>2109</v>
      </c>
      <c r="C166" s="31" t="s">
        <v>1123</v>
      </c>
      <c r="D166" s="31" t="s">
        <v>2110</v>
      </c>
      <c r="E166" s="45" t="s">
        <v>2111</v>
      </c>
      <c r="F166" s="32">
        <v>81</v>
      </c>
      <c r="G166" s="33">
        <v>81</v>
      </c>
      <c r="H166" s="33">
        <v>87</v>
      </c>
      <c r="I166" s="34">
        <f t="shared" si="5"/>
        <v>82</v>
      </c>
      <c r="J166" s="31" t="s">
        <v>1706</v>
      </c>
      <c r="K166" s="46" t="s">
        <v>850</v>
      </c>
    </row>
    <row r="167" spans="1:11" ht="33.950000000000003" customHeight="1" x14ac:dyDescent="0.25">
      <c r="A167" s="35">
        <v>166</v>
      </c>
      <c r="B167" s="35" t="s">
        <v>2112</v>
      </c>
      <c r="C167" s="35" t="s">
        <v>18</v>
      </c>
      <c r="D167" s="35" t="s">
        <v>2113</v>
      </c>
      <c r="E167" s="45" t="s">
        <v>2114</v>
      </c>
      <c r="F167" s="18">
        <v>81</v>
      </c>
      <c r="G167" s="19">
        <v>81</v>
      </c>
      <c r="H167" s="19">
        <v>87</v>
      </c>
      <c r="I167" s="36">
        <f t="shared" si="5"/>
        <v>82</v>
      </c>
      <c r="J167" s="35" t="s">
        <v>1706</v>
      </c>
      <c r="K167" s="46" t="s">
        <v>850</v>
      </c>
    </row>
    <row r="168" spans="1:11" ht="33.950000000000003" customHeight="1" x14ac:dyDescent="0.25">
      <c r="A168" s="31">
        <v>167</v>
      </c>
      <c r="B168" s="31" t="s">
        <v>2115</v>
      </c>
      <c r="C168" s="31" t="s">
        <v>18</v>
      </c>
      <c r="D168" s="31" t="s">
        <v>2041</v>
      </c>
      <c r="E168" s="45" t="s">
        <v>2042</v>
      </c>
      <c r="F168" s="32">
        <v>81</v>
      </c>
      <c r="G168" s="33">
        <v>81</v>
      </c>
      <c r="H168" s="33">
        <v>87</v>
      </c>
      <c r="I168" s="34">
        <f t="shared" si="5"/>
        <v>82</v>
      </c>
      <c r="J168" s="31" t="s">
        <v>1706</v>
      </c>
      <c r="K168" s="46" t="s">
        <v>850</v>
      </c>
    </row>
    <row r="169" spans="1:11" ht="33.950000000000003" customHeight="1" x14ac:dyDescent="0.25">
      <c r="A169" s="35">
        <v>168</v>
      </c>
      <c r="B169" s="35" t="s">
        <v>2116</v>
      </c>
      <c r="C169" s="35" t="s">
        <v>18</v>
      </c>
      <c r="D169" s="35" t="s">
        <v>2041</v>
      </c>
      <c r="E169" s="45" t="s">
        <v>2042</v>
      </c>
      <c r="F169" s="18">
        <v>81</v>
      </c>
      <c r="G169" s="19">
        <v>81</v>
      </c>
      <c r="H169" s="19">
        <v>87</v>
      </c>
      <c r="I169" s="36">
        <f t="shared" si="5"/>
        <v>82</v>
      </c>
      <c r="J169" s="35" t="s">
        <v>1706</v>
      </c>
      <c r="K169" s="46" t="s">
        <v>850</v>
      </c>
    </row>
    <row r="170" spans="1:11" ht="33.950000000000003" customHeight="1" x14ac:dyDescent="0.25">
      <c r="A170" s="31">
        <v>169</v>
      </c>
      <c r="B170" s="31" t="s">
        <v>2117</v>
      </c>
      <c r="C170" s="31" t="s">
        <v>238</v>
      </c>
      <c r="D170" s="31" t="s">
        <v>1709</v>
      </c>
      <c r="E170" s="45" t="s">
        <v>2118</v>
      </c>
      <c r="F170" s="32">
        <v>81</v>
      </c>
      <c r="G170" s="33">
        <v>81</v>
      </c>
      <c r="H170" s="33">
        <v>87</v>
      </c>
      <c r="I170" s="34">
        <f t="shared" si="5"/>
        <v>82</v>
      </c>
      <c r="J170" s="31" t="s">
        <v>1706</v>
      </c>
      <c r="K170" s="46" t="s">
        <v>850</v>
      </c>
    </row>
    <row r="171" spans="1:11" ht="33.950000000000003" customHeight="1" x14ac:dyDescent="0.25">
      <c r="A171" s="35">
        <v>170</v>
      </c>
      <c r="B171" s="35" t="s">
        <v>341</v>
      </c>
      <c r="C171" s="35" t="s">
        <v>62</v>
      </c>
      <c r="D171" s="35" t="s">
        <v>1761</v>
      </c>
      <c r="E171" s="45" t="s">
        <v>1762</v>
      </c>
      <c r="F171" s="18">
        <v>81</v>
      </c>
      <c r="G171" s="19">
        <v>81</v>
      </c>
      <c r="H171" s="19">
        <v>87</v>
      </c>
      <c r="I171" s="36">
        <f t="shared" si="5"/>
        <v>82</v>
      </c>
      <c r="J171" s="35" t="s">
        <v>1706</v>
      </c>
      <c r="K171" s="46" t="s">
        <v>850</v>
      </c>
    </row>
    <row r="172" spans="1:11" ht="33.950000000000003" customHeight="1" x14ac:dyDescent="0.25">
      <c r="A172" s="31">
        <v>171</v>
      </c>
      <c r="B172" s="31" t="s">
        <v>2119</v>
      </c>
      <c r="C172" s="31" t="s">
        <v>304</v>
      </c>
      <c r="D172" s="31" t="s">
        <v>1731</v>
      </c>
      <c r="E172" s="45" t="s">
        <v>1778</v>
      </c>
      <c r="F172" s="32">
        <v>80</v>
      </c>
      <c r="G172" s="33">
        <v>80</v>
      </c>
      <c r="H172" s="33">
        <v>86</v>
      </c>
      <c r="I172" s="34">
        <f t="shared" si="5"/>
        <v>81</v>
      </c>
      <c r="J172" s="31" t="s">
        <v>1706</v>
      </c>
      <c r="K172" s="46" t="s">
        <v>850</v>
      </c>
    </row>
    <row r="173" spans="1:11" ht="33.950000000000003" customHeight="1" x14ac:dyDescent="0.25">
      <c r="A173" s="35">
        <v>172</v>
      </c>
      <c r="B173" s="35" t="s">
        <v>2120</v>
      </c>
      <c r="C173" s="35" t="s">
        <v>62</v>
      </c>
      <c r="D173" s="35" t="s">
        <v>2121</v>
      </c>
      <c r="E173" s="45" t="s">
        <v>2122</v>
      </c>
      <c r="F173" s="18">
        <v>80</v>
      </c>
      <c r="G173" s="19">
        <v>80</v>
      </c>
      <c r="H173" s="19">
        <v>86</v>
      </c>
      <c r="I173" s="36">
        <f t="shared" si="5"/>
        <v>81</v>
      </c>
      <c r="J173" s="35" t="s">
        <v>1706</v>
      </c>
      <c r="K173" s="46" t="s">
        <v>850</v>
      </c>
    </row>
    <row r="174" spans="1:11" ht="33.950000000000003" customHeight="1" x14ac:dyDescent="0.25">
      <c r="A174" s="31">
        <v>173</v>
      </c>
      <c r="B174" s="31" t="s">
        <v>2123</v>
      </c>
      <c r="C174" s="31" t="s">
        <v>238</v>
      </c>
      <c r="D174" s="31" t="s">
        <v>1731</v>
      </c>
      <c r="E174" s="45" t="s">
        <v>1778</v>
      </c>
      <c r="F174" s="32">
        <v>80</v>
      </c>
      <c r="G174" s="33">
        <v>80</v>
      </c>
      <c r="H174" s="33">
        <v>86</v>
      </c>
      <c r="I174" s="34">
        <f t="shared" si="5"/>
        <v>81</v>
      </c>
      <c r="J174" s="31" t="s">
        <v>1706</v>
      </c>
      <c r="K174" s="46" t="s">
        <v>850</v>
      </c>
    </row>
    <row r="175" spans="1:11" ht="33.950000000000003" customHeight="1" x14ac:dyDescent="0.25">
      <c r="A175" s="35">
        <v>174</v>
      </c>
      <c r="B175" s="35" t="s">
        <v>2124</v>
      </c>
      <c r="C175" s="35" t="s">
        <v>23</v>
      </c>
      <c r="D175" s="35" t="s">
        <v>1731</v>
      </c>
      <c r="E175" s="45" t="s">
        <v>1778</v>
      </c>
      <c r="F175" s="18">
        <v>80</v>
      </c>
      <c r="G175" s="19">
        <v>80</v>
      </c>
      <c r="H175" s="19">
        <v>86</v>
      </c>
      <c r="I175" s="36">
        <f t="shared" si="5"/>
        <v>81</v>
      </c>
      <c r="J175" s="35" t="s">
        <v>1706</v>
      </c>
      <c r="K175" s="46" t="s">
        <v>850</v>
      </c>
    </row>
    <row r="176" spans="1:11" ht="33.950000000000003" customHeight="1" x14ac:dyDescent="0.25">
      <c r="A176" s="31">
        <v>175</v>
      </c>
      <c r="B176" s="31" t="s">
        <v>2125</v>
      </c>
      <c r="C176" s="31" t="s">
        <v>225</v>
      </c>
      <c r="D176" s="31" t="s">
        <v>1731</v>
      </c>
      <c r="E176" s="45" t="s">
        <v>1778</v>
      </c>
      <c r="F176" s="32">
        <v>80</v>
      </c>
      <c r="G176" s="33">
        <v>80</v>
      </c>
      <c r="H176" s="33">
        <v>86</v>
      </c>
      <c r="I176" s="34">
        <f t="shared" si="5"/>
        <v>81</v>
      </c>
      <c r="J176" s="31" t="s">
        <v>1706</v>
      </c>
      <c r="K176" s="46" t="s">
        <v>850</v>
      </c>
    </row>
    <row r="177" spans="1:11" ht="33.950000000000003" customHeight="1" x14ac:dyDescent="0.25">
      <c r="A177" s="35">
        <v>176</v>
      </c>
      <c r="B177" s="35" t="s">
        <v>2126</v>
      </c>
      <c r="C177" s="35" t="s">
        <v>113</v>
      </c>
      <c r="D177" s="35" t="s">
        <v>1731</v>
      </c>
      <c r="E177" s="45" t="s">
        <v>1778</v>
      </c>
      <c r="F177" s="18">
        <v>80</v>
      </c>
      <c r="G177" s="19">
        <v>80</v>
      </c>
      <c r="H177" s="19">
        <v>86</v>
      </c>
      <c r="I177" s="36">
        <f t="shared" si="5"/>
        <v>81</v>
      </c>
      <c r="J177" s="35" t="s">
        <v>1706</v>
      </c>
      <c r="K177" s="46" t="s">
        <v>850</v>
      </c>
    </row>
    <row r="178" spans="1:11" ht="33.950000000000003" customHeight="1" x14ac:dyDescent="0.25">
      <c r="A178" s="31">
        <v>177</v>
      </c>
      <c r="B178" s="31" t="s">
        <v>2127</v>
      </c>
      <c r="C178" s="31" t="s">
        <v>62</v>
      </c>
      <c r="D178" s="31" t="s">
        <v>1731</v>
      </c>
      <c r="E178" s="45" t="s">
        <v>1778</v>
      </c>
      <c r="F178" s="32">
        <v>80</v>
      </c>
      <c r="G178" s="33">
        <v>80</v>
      </c>
      <c r="H178" s="33">
        <v>86</v>
      </c>
      <c r="I178" s="34">
        <f t="shared" si="5"/>
        <v>81</v>
      </c>
      <c r="J178" s="31" t="s">
        <v>1706</v>
      </c>
      <c r="K178" s="46" t="s">
        <v>850</v>
      </c>
    </row>
    <row r="179" spans="1:11" ht="33.950000000000003" customHeight="1" x14ac:dyDescent="0.25">
      <c r="A179" s="35">
        <v>178</v>
      </c>
      <c r="B179" s="35" t="s">
        <v>2128</v>
      </c>
      <c r="C179" s="35" t="s">
        <v>23</v>
      </c>
      <c r="D179" s="35" t="s">
        <v>2129</v>
      </c>
      <c r="E179" s="45" t="s">
        <v>2130</v>
      </c>
      <c r="F179" s="18">
        <v>80</v>
      </c>
      <c r="G179" s="19">
        <v>80</v>
      </c>
      <c r="H179" s="19">
        <v>86</v>
      </c>
      <c r="I179" s="36">
        <f t="shared" si="5"/>
        <v>81</v>
      </c>
      <c r="J179" s="35" t="s">
        <v>1706</v>
      </c>
      <c r="K179" s="46" t="s">
        <v>850</v>
      </c>
    </row>
    <row r="180" spans="1:11" ht="33.950000000000003" customHeight="1" x14ac:dyDescent="0.25">
      <c r="A180" s="31">
        <v>179</v>
      </c>
      <c r="B180" s="31" t="s">
        <v>2131</v>
      </c>
      <c r="C180" s="31" t="s">
        <v>18</v>
      </c>
      <c r="D180" s="31" t="s">
        <v>1761</v>
      </c>
      <c r="E180" s="45" t="s">
        <v>1762</v>
      </c>
      <c r="F180" s="32">
        <v>80</v>
      </c>
      <c r="G180" s="33">
        <v>80</v>
      </c>
      <c r="H180" s="33">
        <v>86</v>
      </c>
      <c r="I180" s="34">
        <f t="shared" si="5"/>
        <v>81</v>
      </c>
      <c r="J180" s="31" t="s">
        <v>1706</v>
      </c>
      <c r="K180" s="46" t="s">
        <v>850</v>
      </c>
    </row>
    <row r="181" spans="1:11" ht="33.950000000000003" customHeight="1" x14ac:dyDescent="0.25">
      <c r="A181" s="35">
        <v>180</v>
      </c>
      <c r="B181" s="35" t="s">
        <v>2132</v>
      </c>
      <c r="C181" s="35" t="s">
        <v>938</v>
      </c>
      <c r="D181" s="35" t="s">
        <v>2133</v>
      </c>
      <c r="E181" s="45" t="s">
        <v>2134</v>
      </c>
      <c r="F181" s="18">
        <v>80</v>
      </c>
      <c r="G181" s="19">
        <v>80</v>
      </c>
      <c r="H181" s="19">
        <v>86</v>
      </c>
      <c r="I181" s="36">
        <f t="shared" si="5"/>
        <v>81</v>
      </c>
      <c r="J181" s="35" t="s">
        <v>1706</v>
      </c>
      <c r="K181" s="46" t="s">
        <v>850</v>
      </c>
    </row>
    <row r="182" spans="1:11" ht="33.950000000000003" customHeight="1" x14ac:dyDescent="0.25">
      <c r="A182" s="31">
        <v>181</v>
      </c>
      <c r="B182" s="31" t="s">
        <v>2135</v>
      </c>
      <c r="C182" s="31" t="s">
        <v>741</v>
      </c>
      <c r="D182" s="31" t="s">
        <v>2136</v>
      </c>
      <c r="E182" s="45" t="s">
        <v>2137</v>
      </c>
      <c r="F182" s="32">
        <v>80</v>
      </c>
      <c r="G182" s="33">
        <v>80</v>
      </c>
      <c r="H182" s="33">
        <v>86</v>
      </c>
      <c r="I182" s="34">
        <f t="shared" si="5"/>
        <v>81</v>
      </c>
      <c r="J182" s="31" t="s">
        <v>1706</v>
      </c>
      <c r="K182" s="46" t="s">
        <v>850</v>
      </c>
    </row>
    <row r="183" spans="1:11" ht="33.950000000000003" customHeight="1" x14ac:dyDescent="0.25">
      <c r="A183" s="35">
        <v>182</v>
      </c>
      <c r="B183" s="35" t="s">
        <v>2138</v>
      </c>
      <c r="C183" s="35" t="s">
        <v>238</v>
      </c>
      <c r="D183" s="35" t="s">
        <v>2139</v>
      </c>
      <c r="E183" s="45" t="s">
        <v>2140</v>
      </c>
      <c r="F183" s="18">
        <v>80</v>
      </c>
      <c r="G183" s="19">
        <v>80</v>
      </c>
      <c r="H183" s="19">
        <v>86</v>
      </c>
      <c r="I183" s="36">
        <f t="shared" si="5"/>
        <v>81</v>
      </c>
      <c r="J183" s="35" t="s">
        <v>1706</v>
      </c>
      <c r="K183" s="46" t="s">
        <v>850</v>
      </c>
    </row>
    <row r="184" spans="1:11" ht="33.950000000000003" customHeight="1" x14ac:dyDescent="0.25">
      <c r="A184" s="31">
        <v>183</v>
      </c>
      <c r="B184" s="31" t="s">
        <v>2141</v>
      </c>
      <c r="C184" s="31" t="s">
        <v>137</v>
      </c>
      <c r="D184" s="31" t="s">
        <v>2142</v>
      </c>
      <c r="E184" s="45" t="s">
        <v>2143</v>
      </c>
      <c r="F184" s="32">
        <v>80</v>
      </c>
      <c r="G184" s="33">
        <v>80</v>
      </c>
      <c r="H184" s="33">
        <v>86</v>
      </c>
      <c r="I184" s="34">
        <f t="shared" si="5"/>
        <v>81</v>
      </c>
      <c r="J184" s="31" t="s">
        <v>1706</v>
      </c>
      <c r="K184" s="46" t="s">
        <v>850</v>
      </c>
    </row>
    <row r="185" spans="1:11" ht="33.950000000000003" customHeight="1" x14ac:dyDescent="0.25">
      <c r="A185" s="35">
        <v>184</v>
      </c>
      <c r="B185" s="35" t="s">
        <v>2144</v>
      </c>
      <c r="C185" s="35" t="s">
        <v>1416</v>
      </c>
      <c r="D185" s="35" t="s">
        <v>2145</v>
      </c>
      <c r="E185" s="45" t="s">
        <v>2146</v>
      </c>
      <c r="F185" s="18">
        <v>80</v>
      </c>
      <c r="G185" s="19">
        <v>80</v>
      </c>
      <c r="H185" s="19">
        <v>86</v>
      </c>
      <c r="I185" s="36">
        <f t="shared" si="5"/>
        <v>81</v>
      </c>
      <c r="J185" s="35" t="s">
        <v>1706</v>
      </c>
      <c r="K185" s="46" t="s">
        <v>850</v>
      </c>
    </row>
    <row r="186" spans="1:11" ht="33.950000000000003" customHeight="1" x14ac:dyDescent="0.25">
      <c r="A186" s="31">
        <v>185</v>
      </c>
      <c r="B186" s="31" t="s">
        <v>2147</v>
      </c>
      <c r="C186" s="31" t="s">
        <v>113</v>
      </c>
      <c r="D186" s="31" t="s">
        <v>1743</v>
      </c>
      <c r="E186" s="45" t="s">
        <v>1744</v>
      </c>
      <c r="F186" s="32">
        <v>80</v>
      </c>
      <c r="G186" s="33">
        <v>80</v>
      </c>
      <c r="H186" s="33">
        <v>86</v>
      </c>
      <c r="I186" s="34">
        <f t="shared" si="5"/>
        <v>81</v>
      </c>
      <c r="J186" s="31" t="s">
        <v>1706</v>
      </c>
      <c r="K186" s="46" t="s">
        <v>850</v>
      </c>
    </row>
    <row r="187" spans="1:11" ht="33.950000000000003" customHeight="1" x14ac:dyDescent="0.25">
      <c r="A187" s="35">
        <v>186</v>
      </c>
      <c r="B187" s="35" t="s">
        <v>2148</v>
      </c>
      <c r="C187" s="35" t="s">
        <v>37</v>
      </c>
      <c r="D187" s="35" t="s">
        <v>2149</v>
      </c>
      <c r="E187" s="45" t="s">
        <v>2150</v>
      </c>
      <c r="F187" s="18">
        <v>80</v>
      </c>
      <c r="G187" s="19">
        <v>80</v>
      </c>
      <c r="H187" s="19">
        <v>86</v>
      </c>
      <c r="I187" s="36">
        <f t="shared" si="5"/>
        <v>81</v>
      </c>
      <c r="J187" s="35" t="s">
        <v>1706</v>
      </c>
      <c r="K187" s="46" t="s">
        <v>850</v>
      </c>
    </row>
    <row r="188" spans="1:11" ht="33.950000000000003" customHeight="1" x14ac:dyDescent="0.25">
      <c r="A188" s="31">
        <v>187</v>
      </c>
      <c r="B188" s="31" t="s">
        <v>2151</v>
      </c>
      <c r="C188" s="31" t="s">
        <v>238</v>
      </c>
      <c r="D188" s="31" t="s">
        <v>2152</v>
      </c>
      <c r="E188" s="45" t="s">
        <v>2153</v>
      </c>
      <c r="F188" s="32">
        <v>80</v>
      </c>
      <c r="G188" s="33">
        <v>80</v>
      </c>
      <c r="H188" s="33">
        <v>86</v>
      </c>
      <c r="I188" s="34">
        <f t="shared" si="5"/>
        <v>81</v>
      </c>
      <c r="J188" s="31" t="s">
        <v>1706</v>
      </c>
      <c r="K188" s="46" t="s">
        <v>850</v>
      </c>
    </row>
    <row r="189" spans="1:11" ht="33.950000000000003" customHeight="1" x14ac:dyDescent="0.25">
      <c r="A189" s="35">
        <v>188</v>
      </c>
      <c r="B189" s="35" t="s">
        <v>2154</v>
      </c>
      <c r="C189" s="35" t="s">
        <v>867</v>
      </c>
      <c r="D189" s="35" t="s">
        <v>1907</v>
      </c>
      <c r="E189" s="45" t="s">
        <v>1908</v>
      </c>
      <c r="F189" s="18">
        <v>80</v>
      </c>
      <c r="G189" s="19">
        <v>80</v>
      </c>
      <c r="H189" s="19">
        <v>86</v>
      </c>
      <c r="I189" s="36">
        <f t="shared" si="5"/>
        <v>81</v>
      </c>
      <c r="J189" s="35" t="s">
        <v>1706</v>
      </c>
      <c r="K189" s="46" t="s">
        <v>850</v>
      </c>
    </row>
    <row r="190" spans="1:11" ht="33.950000000000003" customHeight="1" x14ac:dyDescent="0.25">
      <c r="A190" s="31">
        <v>189</v>
      </c>
      <c r="B190" s="31" t="s">
        <v>2155</v>
      </c>
      <c r="C190" s="31" t="s">
        <v>18</v>
      </c>
      <c r="D190" s="31" t="s">
        <v>2156</v>
      </c>
      <c r="E190" s="45" t="s">
        <v>2157</v>
      </c>
      <c r="F190" s="32">
        <v>80</v>
      </c>
      <c r="G190" s="33">
        <v>80</v>
      </c>
      <c r="H190" s="33">
        <v>86</v>
      </c>
      <c r="I190" s="34">
        <f t="shared" si="5"/>
        <v>81</v>
      </c>
      <c r="J190" s="31" t="s">
        <v>1706</v>
      </c>
      <c r="K190" s="46" t="s">
        <v>850</v>
      </c>
    </row>
    <row r="191" spans="1:11" ht="33.950000000000003" customHeight="1" x14ac:dyDescent="0.25">
      <c r="A191" s="35">
        <v>190</v>
      </c>
      <c r="B191" s="35" t="s">
        <v>2158</v>
      </c>
      <c r="C191" s="35" t="s">
        <v>37</v>
      </c>
      <c r="D191" s="35" t="s">
        <v>2159</v>
      </c>
      <c r="E191" s="45" t="s">
        <v>2160</v>
      </c>
      <c r="F191" s="18">
        <v>80</v>
      </c>
      <c r="G191" s="19">
        <v>80</v>
      </c>
      <c r="H191" s="19">
        <v>86</v>
      </c>
      <c r="I191" s="36">
        <f t="shared" si="5"/>
        <v>81</v>
      </c>
      <c r="J191" s="35" t="s">
        <v>1706</v>
      </c>
      <c r="K191" s="46" t="s">
        <v>850</v>
      </c>
    </row>
    <row r="192" spans="1:11" ht="33.950000000000003" customHeight="1" x14ac:dyDescent="0.25">
      <c r="A192" s="31">
        <v>191</v>
      </c>
      <c r="B192" s="31" t="s">
        <v>2161</v>
      </c>
      <c r="C192" s="31" t="s">
        <v>122</v>
      </c>
      <c r="D192" s="31" t="s">
        <v>2162</v>
      </c>
      <c r="E192" s="45" t="s">
        <v>2163</v>
      </c>
      <c r="F192" s="32">
        <v>79</v>
      </c>
      <c r="G192" s="33">
        <v>79</v>
      </c>
      <c r="H192" s="33">
        <v>85</v>
      </c>
      <c r="I192" s="34">
        <f t="shared" si="5"/>
        <v>80</v>
      </c>
      <c r="J192" s="31" t="s">
        <v>1706</v>
      </c>
      <c r="K192" s="46" t="s">
        <v>850</v>
      </c>
    </row>
    <row r="193" spans="1:11" ht="33.950000000000003" customHeight="1" x14ac:dyDescent="0.25">
      <c r="A193" s="35">
        <v>192</v>
      </c>
      <c r="B193" s="35" t="s">
        <v>2164</v>
      </c>
      <c r="C193" s="35" t="s">
        <v>1023</v>
      </c>
      <c r="D193" s="35" t="s">
        <v>2041</v>
      </c>
      <c r="E193" s="45" t="s">
        <v>2042</v>
      </c>
      <c r="F193" s="18">
        <v>79</v>
      </c>
      <c r="G193" s="19">
        <v>79</v>
      </c>
      <c r="H193" s="19">
        <v>85</v>
      </c>
      <c r="I193" s="36">
        <f t="shared" si="5"/>
        <v>80</v>
      </c>
      <c r="J193" s="35" t="s">
        <v>1706</v>
      </c>
      <c r="K193" s="46" t="s">
        <v>850</v>
      </c>
    </row>
    <row r="194" spans="1:11" ht="33.950000000000003" customHeight="1" x14ac:dyDescent="0.25">
      <c r="A194" s="31">
        <v>193</v>
      </c>
      <c r="B194" s="31" t="s">
        <v>2165</v>
      </c>
      <c r="C194" s="31" t="s">
        <v>164</v>
      </c>
      <c r="D194" s="31" t="s">
        <v>1704</v>
      </c>
      <c r="E194" s="45" t="s">
        <v>2166</v>
      </c>
      <c r="F194" s="32">
        <v>79</v>
      </c>
      <c r="G194" s="33">
        <v>79</v>
      </c>
      <c r="H194" s="33">
        <v>85</v>
      </c>
      <c r="I194" s="34">
        <f t="shared" ref="I194:I225" si="6">ROUND(F194*0.55+G194*0.3+H194*0.15,0)</f>
        <v>80</v>
      </c>
      <c r="J194" s="31" t="s">
        <v>1706</v>
      </c>
      <c r="K194" s="46" t="s">
        <v>850</v>
      </c>
    </row>
    <row r="195" spans="1:11" ht="33.950000000000003" customHeight="1" x14ac:dyDescent="0.25">
      <c r="A195" s="35">
        <v>194</v>
      </c>
      <c r="B195" s="35" t="s">
        <v>2167</v>
      </c>
      <c r="C195" s="35" t="s">
        <v>18</v>
      </c>
      <c r="D195" s="35" t="s">
        <v>2168</v>
      </c>
      <c r="E195" s="45" t="s">
        <v>2169</v>
      </c>
      <c r="F195" s="18">
        <v>79</v>
      </c>
      <c r="G195" s="19">
        <v>79</v>
      </c>
      <c r="H195" s="19">
        <v>85</v>
      </c>
      <c r="I195" s="36">
        <f t="shared" si="6"/>
        <v>80</v>
      </c>
      <c r="J195" s="35" t="s">
        <v>1706</v>
      </c>
      <c r="K195" s="46" t="s">
        <v>850</v>
      </c>
    </row>
    <row r="196" spans="1:11" ht="33.950000000000003" customHeight="1" x14ac:dyDescent="0.25">
      <c r="A196" s="31">
        <v>195</v>
      </c>
      <c r="B196" s="31" t="s">
        <v>2170</v>
      </c>
      <c r="C196" s="31" t="s">
        <v>1010</v>
      </c>
      <c r="D196" s="31" t="s">
        <v>2171</v>
      </c>
      <c r="E196" s="45" t="s">
        <v>2172</v>
      </c>
      <c r="F196" s="32">
        <v>79</v>
      </c>
      <c r="G196" s="33">
        <v>79</v>
      </c>
      <c r="H196" s="33">
        <v>85</v>
      </c>
      <c r="I196" s="34">
        <f t="shared" si="6"/>
        <v>80</v>
      </c>
      <c r="J196" s="31" t="s">
        <v>1706</v>
      </c>
      <c r="K196" s="46" t="s">
        <v>850</v>
      </c>
    </row>
    <row r="197" spans="1:11" ht="33.950000000000003" customHeight="1" x14ac:dyDescent="0.25">
      <c r="A197" s="35">
        <v>196</v>
      </c>
      <c r="B197" s="35" t="s">
        <v>2173</v>
      </c>
      <c r="C197" s="35" t="s">
        <v>37</v>
      </c>
      <c r="D197" s="35" t="s">
        <v>1743</v>
      </c>
      <c r="E197" s="45" t="s">
        <v>1744</v>
      </c>
      <c r="F197" s="18">
        <v>79</v>
      </c>
      <c r="G197" s="19">
        <v>79</v>
      </c>
      <c r="H197" s="19">
        <v>85</v>
      </c>
      <c r="I197" s="36">
        <f t="shared" si="6"/>
        <v>80</v>
      </c>
      <c r="J197" s="35" t="s">
        <v>1706</v>
      </c>
      <c r="K197" s="46" t="s">
        <v>850</v>
      </c>
    </row>
    <row r="198" spans="1:11" ht="33.950000000000003" customHeight="1" x14ac:dyDescent="0.25">
      <c r="A198" s="31">
        <v>197</v>
      </c>
      <c r="B198" s="31" t="s">
        <v>2174</v>
      </c>
      <c r="C198" s="31" t="s">
        <v>18</v>
      </c>
      <c r="D198" s="31" t="s">
        <v>1743</v>
      </c>
      <c r="E198" s="45" t="s">
        <v>1744</v>
      </c>
      <c r="F198" s="32">
        <v>79</v>
      </c>
      <c r="G198" s="33">
        <v>79</v>
      </c>
      <c r="H198" s="33">
        <v>85</v>
      </c>
      <c r="I198" s="34">
        <f t="shared" si="6"/>
        <v>80</v>
      </c>
      <c r="J198" s="31" t="s">
        <v>1706</v>
      </c>
      <c r="K198" s="46" t="s">
        <v>850</v>
      </c>
    </row>
    <row r="199" spans="1:11" ht="33.950000000000003" customHeight="1" x14ac:dyDescent="0.25">
      <c r="A199" s="35">
        <v>198</v>
      </c>
      <c r="B199" s="35" t="s">
        <v>2175</v>
      </c>
      <c r="C199" s="35" t="s">
        <v>62</v>
      </c>
      <c r="D199" s="35" t="s">
        <v>1954</v>
      </c>
      <c r="E199" s="45" t="s">
        <v>1955</v>
      </c>
      <c r="F199" s="18">
        <v>79</v>
      </c>
      <c r="G199" s="19">
        <v>79</v>
      </c>
      <c r="H199" s="19">
        <v>85</v>
      </c>
      <c r="I199" s="36">
        <f t="shared" si="6"/>
        <v>80</v>
      </c>
      <c r="J199" s="35" t="s">
        <v>1706</v>
      </c>
      <c r="K199" s="46" t="s">
        <v>850</v>
      </c>
    </row>
    <row r="200" spans="1:11" ht="33.950000000000003" customHeight="1" x14ac:dyDescent="0.25">
      <c r="A200" s="31">
        <v>199</v>
      </c>
      <c r="B200" s="31" t="s">
        <v>2176</v>
      </c>
      <c r="C200" s="31" t="s">
        <v>137</v>
      </c>
      <c r="D200" s="31" t="s">
        <v>2177</v>
      </c>
      <c r="E200" s="45" t="s">
        <v>2178</v>
      </c>
      <c r="F200" s="32">
        <v>79</v>
      </c>
      <c r="G200" s="33">
        <v>79</v>
      </c>
      <c r="H200" s="33">
        <v>85</v>
      </c>
      <c r="I200" s="34">
        <f t="shared" si="6"/>
        <v>80</v>
      </c>
      <c r="J200" s="31" t="s">
        <v>1706</v>
      </c>
      <c r="K200" s="46" t="s">
        <v>850</v>
      </c>
    </row>
    <row r="201" spans="1:11" ht="33.950000000000003" customHeight="1" x14ac:dyDescent="0.25">
      <c r="A201" s="35">
        <v>200</v>
      </c>
      <c r="B201" s="35" t="s">
        <v>2179</v>
      </c>
      <c r="C201" s="35" t="s">
        <v>18</v>
      </c>
      <c r="D201" s="35" t="s">
        <v>2180</v>
      </c>
      <c r="E201" s="45" t="s">
        <v>2181</v>
      </c>
      <c r="F201" s="18">
        <v>79</v>
      </c>
      <c r="G201" s="19">
        <v>79</v>
      </c>
      <c r="H201" s="19">
        <v>85</v>
      </c>
      <c r="I201" s="36">
        <f t="shared" si="6"/>
        <v>80</v>
      </c>
      <c r="J201" s="35" t="s">
        <v>1706</v>
      </c>
      <c r="K201" s="46" t="s">
        <v>850</v>
      </c>
    </row>
  </sheetData>
  <conditionalFormatting sqref="I2:I201">
    <cfRule type="colorScale" priority="1">
      <colorScale>
        <cfvo type="min"/>
        <cfvo type="percentile" val="55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24" customWidth="1"/>
    <col min="3" max="3" width="18" customWidth="1"/>
    <col min="4" max="4" width="42" customWidth="1"/>
    <col min="5" max="5" width="52" customWidth="1"/>
    <col min="6" max="7" width="13" customWidth="1"/>
    <col min="8" max="8" width="15" customWidth="1"/>
    <col min="9" max="9" width="14" customWidth="1"/>
    <col min="10" max="10" width="72" customWidth="1"/>
    <col min="11" max="11" width="18" customWidth="1"/>
  </cols>
  <sheetData>
    <row r="1" spans="1:11" x14ac:dyDescent="0.25">
      <c r="A1" s="4" t="s">
        <v>0</v>
      </c>
      <c r="B1" s="4" t="s">
        <v>1</v>
      </c>
      <c r="C1" s="4" t="s">
        <v>2</v>
      </c>
      <c r="D1" s="4" t="s">
        <v>796</v>
      </c>
      <c r="E1" s="4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1" t="s">
        <v>10</v>
      </c>
    </row>
    <row r="2" spans="1:11" ht="30" x14ac:dyDescent="0.25">
      <c r="A2" s="25">
        <v>1</v>
      </c>
      <c r="B2" s="25" t="s">
        <v>795</v>
      </c>
      <c r="C2" s="25" t="s">
        <v>18</v>
      </c>
      <c r="D2" s="25" t="s">
        <v>2182</v>
      </c>
      <c r="E2" s="44" t="s">
        <v>2183</v>
      </c>
      <c r="F2" s="48">
        <v>100</v>
      </c>
      <c r="G2" s="49">
        <v>100</v>
      </c>
      <c r="H2" s="49">
        <v>96</v>
      </c>
      <c r="I2" s="50">
        <f t="shared" ref="I2:I33" si="0">ROUND(F2*0.55+G2*0.3+H2*0.15,0)</f>
        <v>99</v>
      </c>
      <c r="J2" s="25" t="s">
        <v>2184</v>
      </c>
      <c r="K2" s="43" t="s">
        <v>2185</v>
      </c>
    </row>
    <row r="3" spans="1:11" ht="30" x14ac:dyDescent="0.25">
      <c r="A3" s="25">
        <v>2</v>
      </c>
      <c r="B3" s="25" t="s">
        <v>2186</v>
      </c>
      <c r="C3" s="25" t="s">
        <v>2187</v>
      </c>
      <c r="D3" s="25" t="s">
        <v>2188</v>
      </c>
      <c r="E3" s="44" t="s">
        <v>2189</v>
      </c>
      <c r="F3" s="48">
        <v>100</v>
      </c>
      <c r="G3" s="49">
        <v>100</v>
      </c>
      <c r="H3" s="49">
        <v>95</v>
      </c>
      <c r="I3" s="50">
        <f t="shared" si="0"/>
        <v>99</v>
      </c>
      <c r="J3" s="25" t="s">
        <v>2184</v>
      </c>
      <c r="K3" s="43" t="s">
        <v>2185</v>
      </c>
    </row>
    <row r="4" spans="1:11" ht="30" x14ac:dyDescent="0.25">
      <c r="A4" s="25">
        <v>3</v>
      </c>
      <c r="B4" s="25" t="s">
        <v>998</v>
      </c>
      <c r="C4" s="25" t="s">
        <v>18</v>
      </c>
      <c r="D4" s="25" t="s">
        <v>2190</v>
      </c>
      <c r="E4" s="44" t="s">
        <v>2191</v>
      </c>
      <c r="F4" s="48">
        <v>100</v>
      </c>
      <c r="G4" s="49">
        <v>99</v>
      </c>
      <c r="H4" s="49">
        <v>95</v>
      </c>
      <c r="I4" s="50">
        <f t="shared" si="0"/>
        <v>99</v>
      </c>
      <c r="J4" s="25" t="s">
        <v>2184</v>
      </c>
      <c r="K4" s="43" t="s">
        <v>2185</v>
      </c>
    </row>
    <row r="5" spans="1:11" ht="30" x14ac:dyDescent="0.25">
      <c r="A5" s="25">
        <v>4</v>
      </c>
      <c r="B5" s="25" t="s">
        <v>1284</v>
      </c>
      <c r="C5" s="25" t="s">
        <v>304</v>
      </c>
      <c r="D5" s="25" t="s">
        <v>2192</v>
      </c>
      <c r="E5" s="44" t="s">
        <v>2193</v>
      </c>
      <c r="F5" s="48">
        <v>99</v>
      </c>
      <c r="G5" s="49">
        <v>99</v>
      </c>
      <c r="H5" s="49">
        <v>95</v>
      </c>
      <c r="I5" s="50">
        <f t="shared" si="0"/>
        <v>98</v>
      </c>
      <c r="J5" s="25" t="s">
        <v>2184</v>
      </c>
      <c r="K5" s="43" t="s">
        <v>2185</v>
      </c>
    </row>
    <row r="6" spans="1:11" ht="30" x14ac:dyDescent="0.25">
      <c r="A6" s="25">
        <v>5</v>
      </c>
      <c r="B6" s="25" t="s">
        <v>2194</v>
      </c>
      <c r="C6" s="25" t="s">
        <v>96</v>
      </c>
      <c r="D6" s="25" t="s">
        <v>2195</v>
      </c>
      <c r="E6" s="44" t="s">
        <v>2196</v>
      </c>
      <c r="F6" s="48">
        <v>98</v>
      </c>
      <c r="G6" s="49">
        <v>98</v>
      </c>
      <c r="H6" s="49">
        <v>94</v>
      </c>
      <c r="I6" s="50">
        <f t="shared" si="0"/>
        <v>97</v>
      </c>
      <c r="J6" s="25" t="s">
        <v>2184</v>
      </c>
      <c r="K6" s="43" t="s">
        <v>2185</v>
      </c>
    </row>
    <row r="7" spans="1:11" ht="30" x14ac:dyDescent="0.25">
      <c r="A7" s="25">
        <v>6</v>
      </c>
      <c r="B7" s="25" t="s">
        <v>1514</v>
      </c>
      <c r="C7" s="25" t="s">
        <v>1010</v>
      </c>
      <c r="D7" s="25" t="s">
        <v>2182</v>
      </c>
      <c r="E7" s="44" t="s">
        <v>2197</v>
      </c>
      <c r="F7" s="48">
        <v>98</v>
      </c>
      <c r="G7" s="49">
        <v>97</v>
      </c>
      <c r="H7" s="49">
        <v>91</v>
      </c>
      <c r="I7" s="50">
        <f t="shared" si="0"/>
        <v>97</v>
      </c>
      <c r="J7" s="25" t="s">
        <v>2184</v>
      </c>
      <c r="K7" s="43" t="s">
        <v>2185</v>
      </c>
    </row>
    <row r="8" spans="1:11" ht="30" x14ac:dyDescent="0.25">
      <c r="A8" s="25">
        <v>7</v>
      </c>
      <c r="B8" s="25" t="s">
        <v>2198</v>
      </c>
      <c r="C8" s="25" t="s">
        <v>1224</v>
      </c>
      <c r="D8" s="25" t="s">
        <v>2199</v>
      </c>
      <c r="E8" s="44" t="s">
        <v>2200</v>
      </c>
      <c r="F8" s="48">
        <v>97</v>
      </c>
      <c r="G8" s="49">
        <v>98</v>
      </c>
      <c r="H8" s="49">
        <v>96</v>
      </c>
      <c r="I8" s="50">
        <f t="shared" si="0"/>
        <v>97</v>
      </c>
      <c r="J8" s="25" t="s">
        <v>2184</v>
      </c>
      <c r="K8" s="43" t="s">
        <v>2185</v>
      </c>
    </row>
    <row r="9" spans="1:11" ht="30" x14ac:dyDescent="0.25">
      <c r="A9" s="25">
        <v>8</v>
      </c>
      <c r="B9" s="25" t="s">
        <v>2201</v>
      </c>
      <c r="C9" s="25" t="s">
        <v>96</v>
      </c>
      <c r="D9" s="25" t="s">
        <v>2202</v>
      </c>
      <c r="E9" s="44" t="s">
        <v>2203</v>
      </c>
      <c r="F9" s="48">
        <v>97</v>
      </c>
      <c r="G9" s="49">
        <v>98</v>
      </c>
      <c r="H9" s="49">
        <v>95</v>
      </c>
      <c r="I9" s="50">
        <f t="shared" si="0"/>
        <v>97</v>
      </c>
      <c r="J9" s="25" t="s">
        <v>2184</v>
      </c>
      <c r="K9" s="43" t="s">
        <v>2185</v>
      </c>
    </row>
    <row r="10" spans="1:11" ht="30" x14ac:dyDescent="0.25">
      <c r="A10" s="25">
        <v>9</v>
      </c>
      <c r="B10" s="25" t="s">
        <v>2204</v>
      </c>
      <c r="C10" s="25" t="s">
        <v>18</v>
      </c>
      <c r="D10" s="25" t="s">
        <v>2205</v>
      </c>
      <c r="E10" s="44" t="s">
        <v>2206</v>
      </c>
      <c r="F10" s="48">
        <v>97</v>
      </c>
      <c r="G10" s="49">
        <v>98</v>
      </c>
      <c r="H10" s="49">
        <v>92</v>
      </c>
      <c r="I10" s="50">
        <f t="shared" si="0"/>
        <v>97</v>
      </c>
      <c r="J10" s="25" t="s">
        <v>2184</v>
      </c>
      <c r="K10" s="43" t="s">
        <v>2185</v>
      </c>
    </row>
    <row r="11" spans="1:11" ht="30" x14ac:dyDescent="0.25">
      <c r="A11" s="25">
        <v>10</v>
      </c>
      <c r="B11" s="25" t="s">
        <v>2207</v>
      </c>
      <c r="C11" s="25" t="s">
        <v>1416</v>
      </c>
      <c r="D11" s="25" t="s">
        <v>2208</v>
      </c>
      <c r="E11" s="44" t="s">
        <v>2209</v>
      </c>
      <c r="F11" s="48">
        <v>98</v>
      </c>
      <c r="G11" s="49">
        <v>96</v>
      </c>
      <c r="H11" s="49">
        <v>80</v>
      </c>
      <c r="I11" s="50">
        <f t="shared" si="0"/>
        <v>95</v>
      </c>
      <c r="J11" s="25" t="s">
        <v>2184</v>
      </c>
      <c r="K11" s="43" t="s">
        <v>2185</v>
      </c>
    </row>
    <row r="12" spans="1:11" ht="30" x14ac:dyDescent="0.25">
      <c r="A12" s="25">
        <v>11</v>
      </c>
      <c r="B12" s="25" t="s">
        <v>2210</v>
      </c>
      <c r="C12" s="25" t="s">
        <v>84</v>
      </c>
      <c r="D12" s="25" t="s">
        <v>2182</v>
      </c>
      <c r="E12" s="44" t="s">
        <v>2211</v>
      </c>
      <c r="F12" s="48">
        <v>94</v>
      </c>
      <c r="G12" s="49">
        <v>98</v>
      </c>
      <c r="H12" s="49">
        <v>100</v>
      </c>
      <c r="I12" s="50">
        <f t="shared" si="0"/>
        <v>96</v>
      </c>
      <c r="J12" s="25" t="s">
        <v>2184</v>
      </c>
      <c r="K12" s="43" t="s">
        <v>2185</v>
      </c>
    </row>
    <row r="13" spans="1:11" ht="30" x14ac:dyDescent="0.25">
      <c r="A13" s="25">
        <v>12</v>
      </c>
      <c r="B13" s="25" t="s">
        <v>2212</v>
      </c>
      <c r="C13" s="25" t="s">
        <v>37</v>
      </c>
      <c r="D13" s="25" t="s">
        <v>2182</v>
      </c>
      <c r="E13" s="44" t="s">
        <v>2213</v>
      </c>
      <c r="F13" s="48">
        <v>95</v>
      </c>
      <c r="G13" s="49">
        <v>96</v>
      </c>
      <c r="H13" s="49">
        <v>92</v>
      </c>
      <c r="I13" s="50">
        <f t="shared" si="0"/>
        <v>95</v>
      </c>
      <c r="J13" s="25" t="s">
        <v>2184</v>
      </c>
      <c r="K13" s="43" t="s">
        <v>2185</v>
      </c>
    </row>
    <row r="14" spans="1:11" ht="30" x14ac:dyDescent="0.25">
      <c r="A14" s="25">
        <v>13</v>
      </c>
      <c r="B14" s="25" t="s">
        <v>2214</v>
      </c>
      <c r="C14" s="25" t="s">
        <v>18</v>
      </c>
      <c r="D14" s="25" t="s">
        <v>2215</v>
      </c>
      <c r="E14" s="44" t="s">
        <v>2216</v>
      </c>
      <c r="F14" s="48">
        <v>96</v>
      </c>
      <c r="G14" s="49">
        <v>96</v>
      </c>
      <c r="H14" s="49">
        <v>88</v>
      </c>
      <c r="I14" s="50">
        <f t="shared" si="0"/>
        <v>95</v>
      </c>
      <c r="J14" s="25" t="s">
        <v>2184</v>
      </c>
      <c r="K14" s="43" t="s">
        <v>2185</v>
      </c>
    </row>
    <row r="15" spans="1:11" ht="30" x14ac:dyDescent="0.25">
      <c r="A15" s="25">
        <v>14</v>
      </c>
      <c r="B15" s="25" t="s">
        <v>2217</v>
      </c>
      <c r="C15" s="25" t="s">
        <v>18</v>
      </c>
      <c r="D15" s="25" t="s">
        <v>2218</v>
      </c>
      <c r="E15" s="44" t="s">
        <v>2219</v>
      </c>
      <c r="F15" s="48">
        <v>95</v>
      </c>
      <c r="G15" s="49">
        <v>96</v>
      </c>
      <c r="H15" s="49">
        <v>94</v>
      </c>
      <c r="I15" s="50">
        <f t="shared" si="0"/>
        <v>95</v>
      </c>
      <c r="J15" s="25" t="s">
        <v>2184</v>
      </c>
      <c r="K15" s="43" t="s">
        <v>2185</v>
      </c>
    </row>
    <row r="16" spans="1:11" ht="30" x14ac:dyDescent="0.25">
      <c r="A16" s="25">
        <v>15</v>
      </c>
      <c r="B16" s="25" t="s">
        <v>2220</v>
      </c>
      <c r="C16" s="25" t="s">
        <v>96</v>
      </c>
      <c r="D16" s="25" t="s">
        <v>2182</v>
      </c>
      <c r="E16" s="44" t="s">
        <v>2221</v>
      </c>
      <c r="F16" s="48">
        <v>95</v>
      </c>
      <c r="G16" s="49">
        <v>97</v>
      </c>
      <c r="H16" s="49">
        <v>95</v>
      </c>
      <c r="I16" s="50">
        <f t="shared" si="0"/>
        <v>96</v>
      </c>
      <c r="J16" s="25" t="s">
        <v>2184</v>
      </c>
      <c r="K16" s="43" t="s">
        <v>2185</v>
      </c>
    </row>
    <row r="17" spans="1:11" ht="30" x14ac:dyDescent="0.25">
      <c r="A17" s="25">
        <v>16</v>
      </c>
      <c r="B17" s="25" t="s">
        <v>2222</v>
      </c>
      <c r="C17" s="25" t="s">
        <v>18</v>
      </c>
      <c r="D17" s="25" t="s">
        <v>2223</v>
      </c>
      <c r="E17" s="44" t="s">
        <v>2224</v>
      </c>
      <c r="F17" s="48">
        <v>95</v>
      </c>
      <c r="G17" s="49">
        <v>94</v>
      </c>
      <c r="H17" s="49">
        <v>82</v>
      </c>
      <c r="I17" s="50">
        <f t="shared" si="0"/>
        <v>93</v>
      </c>
      <c r="J17" s="25" t="s">
        <v>2184</v>
      </c>
      <c r="K17" s="43" t="s">
        <v>2185</v>
      </c>
    </row>
    <row r="18" spans="1:11" ht="30" x14ac:dyDescent="0.25">
      <c r="A18" s="25">
        <v>17</v>
      </c>
      <c r="B18" s="25" t="s">
        <v>602</v>
      </c>
      <c r="C18" s="25" t="s">
        <v>286</v>
      </c>
      <c r="D18" s="25" t="s">
        <v>2182</v>
      </c>
      <c r="E18" s="44" t="s">
        <v>2225</v>
      </c>
      <c r="F18" s="48">
        <v>96</v>
      </c>
      <c r="G18" s="49">
        <v>94</v>
      </c>
      <c r="H18" s="49">
        <v>85</v>
      </c>
      <c r="I18" s="50">
        <f t="shared" si="0"/>
        <v>94</v>
      </c>
      <c r="J18" s="25" t="s">
        <v>2184</v>
      </c>
      <c r="K18" s="43" t="s">
        <v>2185</v>
      </c>
    </row>
    <row r="19" spans="1:11" ht="30" x14ac:dyDescent="0.25">
      <c r="A19" s="25">
        <v>18</v>
      </c>
      <c r="B19" s="25" t="s">
        <v>1810</v>
      </c>
      <c r="C19" s="25" t="s">
        <v>105</v>
      </c>
      <c r="D19" s="25" t="s">
        <v>2182</v>
      </c>
      <c r="E19" s="44" t="s">
        <v>2226</v>
      </c>
      <c r="F19" s="48">
        <v>95</v>
      </c>
      <c r="G19" s="49">
        <v>95</v>
      </c>
      <c r="H19" s="49">
        <v>91</v>
      </c>
      <c r="I19" s="50">
        <f t="shared" si="0"/>
        <v>94</v>
      </c>
      <c r="J19" s="25" t="s">
        <v>2184</v>
      </c>
      <c r="K19" s="43" t="s">
        <v>2185</v>
      </c>
    </row>
    <row r="20" spans="1:11" ht="30" x14ac:dyDescent="0.25">
      <c r="A20" s="25">
        <v>19</v>
      </c>
      <c r="B20" s="25" t="s">
        <v>2227</v>
      </c>
      <c r="C20" s="25" t="s">
        <v>885</v>
      </c>
      <c r="D20" s="25" t="s">
        <v>2205</v>
      </c>
      <c r="E20" s="44" t="s">
        <v>2228</v>
      </c>
      <c r="F20" s="48">
        <v>97</v>
      </c>
      <c r="G20" s="49">
        <v>94</v>
      </c>
      <c r="H20" s="49">
        <v>65</v>
      </c>
      <c r="I20" s="50">
        <f t="shared" si="0"/>
        <v>91</v>
      </c>
      <c r="J20" s="25" t="s">
        <v>2184</v>
      </c>
      <c r="K20" s="43" t="s">
        <v>2185</v>
      </c>
    </row>
    <row r="21" spans="1:11" ht="30" x14ac:dyDescent="0.25">
      <c r="A21" s="25">
        <v>20</v>
      </c>
      <c r="B21" s="25" t="s">
        <v>1541</v>
      </c>
      <c r="C21" s="25" t="s">
        <v>18</v>
      </c>
      <c r="D21" s="25" t="s">
        <v>2229</v>
      </c>
      <c r="E21" s="44" t="s">
        <v>2230</v>
      </c>
      <c r="F21" s="48">
        <v>92</v>
      </c>
      <c r="G21" s="49">
        <v>94</v>
      </c>
      <c r="H21" s="49">
        <v>89</v>
      </c>
      <c r="I21" s="50">
        <f t="shared" si="0"/>
        <v>92</v>
      </c>
      <c r="J21" s="25" t="s">
        <v>2184</v>
      </c>
      <c r="K21" s="43" t="s">
        <v>2185</v>
      </c>
    </row>
    <row r="22" spans="1:11" ht="30" x14ac:dyDescent="0.25">
      <c r="A22" s="25">
        <v>21</v>
      </c>
      <c r="B22" s="25" t="s">
        <v>941</v>
      </c>
      <c r="C22" s="25" t="s">
        <v>37</v>
      </c>
      <c r="D22" s="25" t="s">
        <v>2231</v>
      </c>
      <c r="E22" s="44" t="s">
        <v>2232</v>
      </c>
      <c r="F22" s="48">
        <v>93</v>
      </c>
      <c r="G22" s="49">
        <v>94</v>
      </c>
      <c r="H22" s="49">
        <v>82</v>
      </c>
      <c r="I22" s="50">
        <f t="shared" si="0"/>
        <v>92</v>
      </c>
      <c r="J22" s="25" t="s">
        <v>2184</v>
      </c>
      <c r="K22" s="43" t="s">
        <v>2185</v>
      </c>
    </row>
    <row r="23" spans="1:11" ht="30" x14ac:dyDescent="0.25">
      <c r="A23" s="25">
        <v>22</v>
      </c>
      <c r="B23" s="25" t="s">
        <v>2233</v>
      </c>
      <c r="C23" s="25" t="s">
        <v>2234</v>
      </c>
      <c r="D23" s="25" t="s">
        <v>2235</v>
      </c>
      <c r="E23" s="44" t="s">
        <v>2236</v>
      </c>
      <c r="F23" s="48">
        <v>94</v>
      </c>
      <c r="G23" s="49">
        <v>95</v>
      </c>
      <c r="H23" s="49">
        <v>86</v>
      </c>
      <c r="I23" s="50">
        <f t="shared" si="0"/>
        <v>93</v>
      </c>
      <c r="J23" s="25" t="s">
        <v>2184</v>
      </c>
      <c r="K23" s="43" t="s">
        <v>2185</v>
      </c>
    </row>
    <row r="24" spans="1:11" ht="30" x14ac:dyDescent="0.25">
      <c r="A24" s="25">
        <v>23</v>
      </c>
      <c r="B24" s="25" t="s">
        <v>620</v>
      </c>
      <c r="C24" s="25" t="s">
        <v>37</v>
      </c>
      <c r="D24" s="25" t="s">
        <v>2237</v>
      </c>
      <c r="E24" s="44" t="s">
        <v>2238</v>
      </c>
      <c r="F24" s="48">
        <v>94</v>
      </c>
      <c r="G24" s="49">
        <v>93</v>
      </c>
      <c r="H24" s="49">
        <v>86</v>
      </c>
      <c r="I24" s="50">
        <f t="shared" si="0"/>
        <v>93</v>
      </c>
      <c r="J24" s="25" t="s">
        <v>2184</v>
      </c>
      <c r="K24" s="43" t="s">
        <v>2185</v>
      </c>
    </row>
    <row r="25" spans="1:11" ht="45" x14ac:dyDescent="0.25">
      <c r="A25" s="25">
        <v>24</v>
      </c>
      <c r="B25" s="25" t="s">
        <v>2239</v>
      </c>
      <c r="C25" s="25" t="s">
        <v>238</v>
      </c>
      <c r="D25" s="25" t="s">
        <v>2240</v>
      </c>
      <c r="E25" s="44" t="s">
        <v>2241</v>
      </c>
      <c r="F25" s="48">
        <v>92</v>
      </c>
      <c r="G25" s="49">
        <v>93</v>
      </c>
      <c r="H25" s="49">
        <v>90</v>
      </c>
      <c r="I25" s="50">
        <f t="shared" si="0"/>
        <v>92</v>
      </c>
      <c r="J25" s="25" t="s">
        <v>2184</v>
      </c>
      <c r="K25" s="43" t="s">
        <v>2185</v>
      </c>
    </row>
    <row r="26" spans="1:11" ht="30" x14ac:dyDescent="0.25">
      <c r="A26" s="25">
        <v>25</v>
      </c>
      <c r="B26" s="25" t="s">
        <v>1583</v>
      </c>
      <c r="C26" s="25" t="s">
        <v>18</v>
      </c>
      <c r="D26" s="25" t="s">
        <v>2242</v>
      </c>
      <c r="E26" s="44" t="s">
        <v>2243</v>
      </c>
      <c r="F26" s="48">
        <v>93</v>
      </c>
      <c r="G26" s="49">
        <v>92</v>
      </c>
      <c r="H26" s="49">
        <v>78</v>
      </c>
      <c r="I26" s="50">
        <f t="shared" si="0"/>
        <v>90</v>
      </c>
      <c r="J26" s="25" t="s">
        <v>2184</v>
      </c>
      <c r="K26" s="43" t="s">
        <v>2185</v>
      </c>
    </row>
    <row r="27" spans="1:11" ht="30" x14ac:dyDescent="0.25">
      <c r="A27" s="25">
        <v>26</v>
      </c>
      <c r="B27" s="25" t="s">
        <v>438</v>
      </c>
      <c r="C27" s="25" t="s">
        <v>514</v>
      </c>
      <c r="D27" s="25" t="s">
        <v>2244</v>
      </c>
      <c r="E27" s="44" t="s">
        <v>2245</v>
      </c>
      <c r="F27" s="48">
        <v>94</v>
      </c>
      <c r="G27" s="49">
        <v>91</v>
      </c>
      <c r="H27" s="49">
        <v>72</v>
      </c>
      <c r="I27" s="50">
        <f t="shared" si="0"/>
        <v>90</v>
      </c>
      <c r="J27" s="25" t="s">
        <v>2184</v>
      </c>
      <c r="K27" s="43" t="s">
        <v>2185</v>
      </c>
    </row>
    <row r="28" spans="1:11" ht="30" x14ac:dyDescent="0.25">
      <c r="A28" s="25">
        <v>27</v>
      </c>
      <c r="B28" s="25" t="s">
        <v>2246</v>
      </c>
      <c r="C28" s="25" t="s">
        <v>338</v>
      </c>
      <c r="D28" s="25" t="s">
        <v>2247</v>
      </c>
      <c r="E28" s="44" t="s">
        <v>2248</v>
      </c>
      <c r="F28" s="48">
        <v>92</v>
      </c>
      <c r="G28" s="49">
        <v>93</v>
      </c>
      <c r="H28" s="49">
        <v>92</v>
      </c>
      <c r="I28" s="50">
        <f t="shared" si="0"/>
        <v>92</v>
      </c>
      <c r="J28" s="25" t="s">
        <v>2184</v>
      </c>
      <c r="K28" s="43" t="s">
        <v>2185</v>
      </c>
    </row>
    <row r="29" spans="1:11" ht="30" x14ac:dyDescent="0.25">
      <c r="A29" s="25">
        <v>28</v>
      </c>
      <c r="B29" s="25" t="s">
        <v>1199</v>
      </c>
      <c r="C29" s="25" t="s">
        <v>238</v>
      </c>
      <c r="D29" s="25" t="s">
        <v>2249</v>
      </c>
      <c r="E29" s="44" t="s">
        <v>2250</v>
      </c>
      <c r="F29" s="48">
        <v>95</v>
      </c>
      <c r="G29" s="49">
        <v>94</v>
      </c>
      <c r="H29" s="49">
        <v>78</v>
      </c>
      <c r="I29" s="50">
        <f t="shared" si="0"/>
        <v>92</v>
      </c>
      <c r="J29" s="25" t="s">
        <v>2184</v>
      </c>
      <c r="K29" s="43" t="s">
        <v>2185</v>
      </c>
    </row>
    <row r="30" spans="1:11" ht="30" x14ac:dyDescent="0.25">
      <c r="A30" s="25">
        <v>29</v>
      </c>
      <c r="B30" s="25" t="s">
        <v>2251</v>
      </c>
      <c r="C30" s="25" t="s">
        <v>28</v>
      </c>
      <c r="D30" s="25" t="s">
        <v>2252</v>
      </c>
      <c r="E30" s="44" t="s">
        <v>2253</v>
      </c>
      <c r="F30" s="48">
        <v>94</v>
      </c>
      <c r="G30" s="49">
        <v>94</v>
      </c>
      <c r="H30" s="49">
        <v>88</v>
      </c>
      <c r="I30" s="50">
        <f t="shared" si="0"/>
        <v>93</v>
      </c>
      <c r="J30" s="25" t="s">
        <v>2184</v>
      </c>
      <c r="K30" s="43" t="s">
        <v>2185</v>
      </c>
    </row>
    <row r="31" spans="1:11" ht="30" x14ac:dyDescent="0.25">
      <c r="A31" s="25">
        <v>30</v>
      </c>
      <c r="B31" s="25" t="s">
        <v>2254</v>
      </c>
      <c r="C31" s="25" t="s">
        <v>18</v>
      </c>
      <c r="D31" s="25" t="s">
        <v>2255</v>
      </c>
      <c r="E31" s="44" t="s">
        <v>2256</v>
      </c>
      <c r="F31" s="48">
        <v>92</v>
      </c>
      <c r="G31" s="49">
        <v>91</v>
      </c>
      <c r="H31" s="49">
        <v>80</v>
      </c>
      <c r="I31" s="50">
        <f t="shared" si="0"/>
        <v>90</v>
      </c>
      <c r="J31" s="25" t="s">
        <v>2184</v>
      </c>
      <c r="K31" s="43" t="s">
        <v>2185</v>
      </c>
    </row>
    <row r="32" spans="1:11" ht="45" x14ac:dyDescent="0.25">
      <c r="A32" s="25">
        <v>31</v>
      </c>
      <c r="B32" s="25" t="s">
        <v>2257</v>
      </c>
      <c r="C32" s="25" t="s">
        <v>18</v>
      </c>
      <c r="D32" s="25" t="s">
        <v>2258</v>
      </c>
      <c r="E32" s="44" t="s">
        <v>2259</v>
      </c>
      <c r="F32" s="48">
        <v>89</v>
      </c>
      <c r="G32" s="49">
        <v>92</v>
      </c>
      <c r="H32" s="49">
        <v>100</v>
      </c>
      <c r="I32" s="50">
        <f t="shared" si="0"/>
        <v>92</v>
      </c>
      <c r="J32" s="25" t="s">
        <v>2184</v>
      </c>
      <c r="K32" s="43" t="s">
        <v>2185</v>
      </c>
    </row>
    <row r="33" spans="1:11" ht="30" x14ac:dyDescent="0.25">
      <c r="A33" s="25">
        <v>32</v>
      </c>
      <c r="B33" s="25" t="s">
        <v>2260</v>
      </c>
      <c r="C33" s="25" t="s">
        <v>18</v>
      </c>
      <c r="D33" s="25" t="s">
        <v>2261</v>
      </c>
      <c r="E33" s="44" t="s">
        <v>2262</v>
      </c>
      <c r="F33" s="48">
        <v>92</v>
      </c>
      <c r="G33" s="49">
        <v>91</v>
      </c>
      <c r="H33" s="49">
        <v>80</v>
      </c>
      <c r="I33" s="50">
        <f t="shared" si="0"/>
        <v>90</v>
      </c>
      <c r="J33" s="25" t="s">
        <v>2184</v>
      </c>
      <c r="K33" s="43" t="s">
        <v>2185</v>
      </c>
    </row>
    <row r="34" spans="1:11" ht="30" x14ac:dyDescent="0.25">
      <c r="A34" s="25">
        <v>33</v>
      </c>
      <c r="B34" s="25" t="s">
        <v>2263</v>
      </c>
      <c r="C34" s="25" t="s">
        <v>18</v>
      </c>
      <c r="D34" s="25" t="s">
        <v>2264</v>
      </c>
      <c r="E34" s="44" t="s">
        <v>2265</v>
      </c>
      <c r="F34" s="48">
        <v>91</v>
      </c>
      <c r="G34" s="49">
        <v>91</v>
      </c>
      <c r="H34" s="49">
        <v>86</v>
      </c>
      <c r="I34" s="50">
        <f t="shared" ref="I34:I65" si="1">ROUND(F34*0.55+G34*0.3+H34*0.15,0)</f>
        <v>90</v>
      </c>
      <c r="J34" s="25" t="s">
        <v>2184</v>
      </c>
      <c r="K34" s="43" t="s">
        <v>2185</v>
      </c>
    </row>
    <row r="35" spans="1:11" ht="30" x14ac:dyDescent="0.25">
      <c r="A35" s="25">
        <v>34</v>
      </c>
      <c r="B35" s="25" t="s">
        <v>2266</v>
      </c>
      <c r="C35" s="25" t="s">
        <v>18</v>
      </c>
      <c r="D35" s="25" t="s">
        <v>2267</v>
      </c>
      <c r="E35" s="44" t="s">
        <v>2268</v>
      </c>
      <c r="F35" s="48">
        <v>90</v>
      </c>
      <c r="G35" s="49">
        <v>92</v>
      </c>
      <c r="H35" s="49">
        <v>92</v>
      </c>
      <c r="I35" s="50">
        <f t="shared" si="1"/>
        <v>91</v>
      </c>
      <c r="J35" s="25" t="s">
        <v>2184</v>
      </c>
      <c r="K35" s="43" t="s">
        <v>2185</v>
      </c>
    </row>
    <row r="36" spans="1:11" ht="30" x14ac:dyDescent="0.25">
      <c r="A36" s="25">
        <v>35</v>
      </c>
      <c r="B36" s="25" t="s">
        <v>2269</v>
      </c>
      <c r="C36" s="25" t="s">
        <v>18</v>
      </c>
      <c r="D36" s="25" t="s">
        <v>2270</v>
      </c>
      <c r="E36" s="44" t="s">
        <v>2271</v>
      </c>
      <c r="F36" s="48">
        <v>89</v>
      </c>
      <c r="G36" s="49">
        <v>91</v>
      </c>
      <c r="H36" s="49">
        <v>91</v>
      </c>
      <c r="I36" s="50">
        <f t="shared" si="1"/>
        <v>90</v>
      </c>
      <c r="J36" s="25" t="s">
        <v>2184</v>
      </c>
      <c r="K36" s="43" t="s">
        <v>2185</v>
      </c>
    </row>
    <row r="37" spans="1:11" ht="30" x14ac:dyDescent="0.25">
      <c r="A37" s="25">
        <v>36</v>
      </c>
      <c r="B37" s="25" t="s">
        <v>2272</v>
      </c>
      <c r="C37" s="25" t="s">
        <v>18</v>
      </c>
      <c r="D37" s="25" t="s">
        <v>2273</v>
      </c>
      <c r="E37" s="44" t="s">
        <v>2274</v>
      </c>
      <c r="F37" s="48">
        <v>89</v>
      </c>
      <c r="G37" s="49">
        <v>91</v>
      </c>
      <c r="H37" s="49">
        <v>88</v>
      </c>
      <c r="I37" s="50">
        <f t="shared" si="1"/>
        <v>89</v>
      </c>
      <c r="J37" s="25" t="s">
        <v>2184</v>
      </c>
      <c r="K37" s="43" t="s">
        <v>2185</v>
      </c>
    </row>
    <row r="38" spans="1:11" ht="30" x14ac:dyDescent="0.25">
      <c r="A38" s="25">
        <v>37</v>
      </c>
      <c r="B38" s="25" t="s">
        <v>2275</v>
      </c>
      <c r="C38" s="25" t="s">
        <v>694</v>
      </c>
      <c r="D38" s="25" t="s">
        <v>2276</v>
      </c>
      <c r="E38" s="44" t="s">
        <v>2277</v>
      </c>
      <c r="F38" s="48">
        <v>88</v>
      </c>
      <c r="G38" s="49">
        <v>91</v>
      </c>
      <c r="H38" s="49">
        <v>95</v>
      </c>
      <c r="I38" s="50">
        <f t="shared" si="1"/>
        <v>90</v>
      </c>
      <c r="J38" s="25" t="s">
        <v>2184</v>
      </c>
      <c r="K38" s="43" t="s">
        <v>2185</v>
      </c>
    </row>
    <row r="39" spans="1:11" ht="30" x14ac:dyDescent="0.25">
      <c r="A39" s="25">
        <v>38</v>
      </c>
      <c r="B39" s="25" t="s">
        <v>2278</v>
      </c>
      <c r="C39" s="25" t="s">
        <v>18</v>
      </c>
      <c r="D39" s="25" t="s">
        <v>2279</v>
      </c>
      <c r="E39" s="44" t="s">
        <v>2280</v>
      </c>
      <c r="F39" s="48">
        <v>91</v>
      </c>
      <c r="G39" s="49">
        <v>91</v>
      </c>
      <c r="H39" s="49">
        <v>78</v>
      </c>
      <c r="I39" s="50">
        <f t="shared" si="1"/>
        <v>89</v>
      </c>
      <c r="J39" s="25" t="s">
        <v>2184</v>
      </c>
      <c r="K39" s="43" t="s">
        <v>2185</v>
      </c>
    </row>
    <row r="40" spans="1:11" ht="30" x14ac:dyDescent="0.25">
      <c r="A40" s="25">
        <v>39</v>
      </c>
      <c r="B40" s="25" t="s">
        <v>2281</v>
      </c>
      <c r="C40" s="25" t="s">
        <v>105</v>
      </c>
      <c r="D40" s="25" t="s">
        <v>2252</v>
      </c>
      <c r="E40" s="44" t="s">
        <v>2282</v>
      </c>
      <c r="F40" s="48">
        <v>89</v>
      </c>
      <c r="G40" s="49">
        <v>91</v>
      </c>
      <c r="H40" s="49">
        <v>92</v>
      </c>
      <c r="I40" s="50">
        <f t="shared" si="1"/>
        <v>90</v>
      </c>
      <c r="J40" s="25" t="s">
        <v>2184</v>
      </c>
      <c r="K40" s="43" t="s">
        <v>2185</v>
      </c>
    </row>
    <row r="41" spans="1:11" ht="30" x14ac:dyDescent="0.25">
      <c r="A41" s="25">
        <v>40</v>
      </c>
      <c r="B41" s="25" t="s">
        <v>2283</v>
      </c>
      <c r="C41" s="25" t="s">
        <v>733</v>
      </c>
      <c r="D41" s="25" t="s">
        <v>2284</v>
      </c>
      <c r="E41" s="44" t="s">
        <v>2285</v>
      </c>
      <c r="F41" s="48">
        <v>88</v>
      </c>
      <c r="G41" s="49">
        <v>91</v>
      </c>
      <c r="H41" s="49">
        <v>92</v>
      </c>
      <c r="I41" s="50">
        <f t="shared" si="1"/>
        <v>90</v>
      </c>
      <c r="J41" s="25" t="s">
        <v>2184</v>
      </c>
      <c r="K41" s="43" t="s">
        <v>2185</v>
      </c>
    </row>
    <row r="42" spans="1:11" ht="30" x14ac:dyDescent="0.25">
      <c r="A42" s="25">
        <v>41</v>
      </c>
      <c r="B42" s="25" t="s">
        <v>2286</v>
      </c>
      <c r="C42" s="25" t="s">
        <v>238</v>
      </c>
      <c r="D42" s="25" t="s">
        <v>2182</v>
      </c>
      <c r="E42" s="44" t="s">
        <v>2287</v>
      </c>
      <c r="F42" s="48">
        <v>91</v>
      </c>
      <c r="G42" s="49">
        <v>92</v>
      </c>
      <c r="H42" s="49">
        <v>86</v>
      </c>
      <c r="I42" s="50">
        <f t="shared" si="1"/>
        <v>91</v>
      </c>
      <c r="J42" s="25" t="s">
        <v>2184</v>
      </c>
      <c r="K42" s="43" t="s">
        <v>2185</v>
      </c>
    </row>
    <row r="43" spans="1:11" ht="45" x14ac:dyDescent="0.25">
      <c r="A43" s="25">
        <v>42</v>
      </c>
      <c r="B43" s="25" t="s">
        <v>2288</v>
      </c>
      <c r="C43" s="25" t="s">
        <v>37</v>
      </c>
      <c r="D43" s="25" t="s">
        <v>2289</v>
      </c>
      <c r="E43" s="44" t="s">
        <v>2290</v>
      </c>
      <c r="F43" s="48">
        <v>91</v>
      </c>
      <c r="G43" s="49">
        <v>91</v>
      </c>
      <c r="H43" s="49">
        <v>85</v>
      </c>
      <c r="I43" s="50">
        <f t="shared" si="1"/>
        <v>90</v>
      </c>
      <c r="J43" s="25" t="s">
        <v>2184</v>
      </c>
      <c r="K43" s="43" t="s">
        <v>2185</v>
      </c>
    </row>
    <row r="44" spans="1:11" ht="30" x14ac:dyDescent="0.25">
      <c r="A44" s="25">
        <v>43</v>
      </c>
      <c r="B44" s="25" t="s">
        <v>1424</v>
      </c>
      <c r="C44" s="25" t="s">
        <v>62</v>
      </c>
      <c r="D44" s="25" t="s">
        <v>2291</v>
      </c>
      <c r="E44" s="44" t="s">
        <v>2292</v>
      </c>
      <c r="F44" s="48">
        <v>91</v>
      </c>
      <c r="G44" s="49">
        <v>91</v>
      </c>
      <c r="H44" s="49">
        <v>80</v>
      </c>
      <c r="I44" s="50">
        <f t="shared" si="1"/>
        <v>89</v>
      </c>
      <c r="J44" s="25" t="s">
        <v>2184</v>
      </c>
      <c r="K44" s="43" t="s">
        <v>2185</v>
      </c>
    </row>
    <row r="45" spans="1:11" ht="30" x14ac:dyDescent="0.25">
      <c r="A45" s="25">
        <v>44</v>
      </c>
      <c r="B45" s="25" t="s">
        <v>2293</v>
      </c>
      <c r="C45" s="25" t="s">
        <v>62</v>
      </c>
      <c r="D45" s="25" t="s">
        <v>2294</v>
      </c>
      <c r="E45" s="44" t="s">
        <v>2295</v>
      </c>
      <c r="F45" s="48">
        <v>90</v>
      </c>
      <c r="G45" s="49">
        <v>92</v>
      </c>
      <c r="H45" s="49">
        <v>91</v>
      </c>
      <c r="I45" s="50">
        <f t="shared" si="1"/>
        <v>91</v>
      </c>
      <c r="J45" s="25" t="s">
        <v>2184</v>
      </c>
      <c r="K45" s="43" t="s">
        <v>2185</v>
      </c>
    </row>
    <row r="46" spans="1:11" ht="30" x14ac:dyDescent="0.25">
      <c r="A46" s="25">
        <v>45</v>
      </c>
      <c r="B46" s="25" t="s">
        <v>2296</v>
      </c>
      <c r="C46" s="25" t="s">
        <v>62</v>
      </c>
      <c r="D46" s="25" t="s">
        <v>2297</v>
      </c>
      <c r="E46" s="44" t="s">
        <v>2298</v>
      </c>
      <c r="F46" s="48">
        <v>90</v>
      </c>
      <c r="G46" s="49">
        <v>91</v>
      </c>
      <c r="H46" s="49">
        <v>85</v>
      </c>
      <c r="I46" s="50">
        <f t="shared" si="1"/>
        <v>90</v>
      </c>
      <c r="J46" s="25" t="s">
        <v>2184</v>
      </c>
      <c r="K46" s="43" t="s">
        <v>2185</v>
      </c>
    </row>
    <row r="47" spans="1:11" ht="30" x14ac:dyDescent="0.25">
      <c r="A47" s="25">
        <v>46</v>
      </c>
      <c r="B47" s="25" t="s">
        <v>1065</v>
      </c>
      <c r="C47" s="25" t="s">
        <v>1066</v>
      </c>
      <c r="D47" s="25" t="s">
        <v>2182</v>
      </c>
      <c r="E47" s="44" t="s">
        <v>2299</v>
      </c>
      <c r="F47" s="48">
        <v>90</v>
      </c>
      <c r="G47" s="49">
        <v>91</v>
      </c>
      <c r="H47" s="49">
        <v>88</v>
      </c>
      <c r="I47" s="50">
        <f t="shared" si="1"/>
        <v>90</v>
      </c>
      <c r="J47" s="25" t="s">
        <v>2184</v>
      </c>
      <c r="K47" s="43" t="s">
        <v>2185</v>
      </c>
    </row>
    <row r="48" spans="1:11" ht="30" x14ac:dyDescent="0.25">
      <c r="A48" s="25">
        <v>47</v>
      </c>
      <c r="B48" s="25" t="s">
        <v>2300</v>
      </c>
      <c r="C48" s="25" t="s">
        <v>1855</v>
      </c>
      <c r="D48" s="25" t="s">
        <v>2301</v>
      </c>
      <c r="E48" s="44" t="s">
        <v>2302</v>
      </c>
      <c r="F48" s="48">
        <v>91</v>
      </c>
      <c r="G48" s="49">
        <v>90</v>
      </c>
      <c r="H48" s="49">
        <v>84</v>
      </c>
      <c r="I48" s="50">
        <f t="shared" si="1"/>
        <v>90</v>
      </c>
      <c r="J48" s="25" t="s">
        <v>2184</v>
      </c>
      <c r="K48" s="43" t="s">
        <v>2185</v>
      </c>
    </row>
    <row r="49" spans="1:11" ht="30" x14ac:dyDescent="0.25">
      <c r="A49" s="25">
        <v>48</v>
      </c>
      <c r="B49" s="25" t="s">
        <v>2303</v>
      </c>
      <c r="C49" s="25" t="s">
        <v>238</v>
      </c>
      <c r="D49" s="25" t="s">
        <v>2267</v>
      </c>
      <c r="E49" s="44" t="s">
        <v>2304</v>
      </c>
      <c r="F49" s="48">
        <v>92</v>
      </c>
      <c r="G49" s="49">
        <v>88</v>
      </c>
      <c r="H49" s="49">
        <v>70</v>
      </c>
      <c r="I49" s="50">
        <f t="shared" si="1"/>
        <v>88</v>
      </c>
      <c r="J49" s="25" t="s">
        <v>2184</v>
      </c>
      <c r="K49" s="43" t="s">
        <v>2185</v>
      </c>
    </row>
    <row r="50" spans="1:11" ht="30" x14ac:dyDescent="0.25">
      <c r="A50" s="25">
        <v>49</v>
      </c>
      <c r="B50" s="25" t="s">
        <v>87</v>
      </c>
      <c r="C50" s="25" t="s">
        <v>18</v>
      </c>
      <c r="D50" s="25" t="s">
        <v>2182</v>
      </c>
      <c r="E50" s="44" t="s">
        <v>2305</v>
      </c>
      <c r="F50" s="48">
        <v>94</v>
      </c>
      <c r="G50" s="49">
        <v>87</v>
      </c>
      <c r="H50" s="49">
        <v>60</v>
      </c>
      <c r="I50" s="50">
        <f t="shared" si="1"/>
        <v>87</v>
      </c>
      <c r="J50" s="25" t="s">
        <v>2184</v>
      </c>
      <c r="K50" s="43" t="s">
        <v>2185</v>
      </c>
    </row>
    <row r="51" spans="1:11" ht="30" x14ac:dyDescent="0.25">
      <c r="A51" s="25">
        <v>50</v>
      </c>
      <c r="B51" s="25" t="s">
        <v>2306</v>
      </c>
      <c r="C51" s="25" t="s">
        <v>18</v>
      </c>
      <c r="D51" s="25" t="s">
        <v>2244</v>
      </c>
      <c r="E51" s="44" t="s">
        <v>2307</v>
      </c>
      <c r="F51" s="48">
        <v>94</v>
      </c>
      <c r="G51" s="49">
        <v>87</v>
      </c>
      <c r="H51" s="49">
        <v>58</v>
      </c>
      <c r="I51" s="50">
        <f t="shared" si="1"/>
        <v>87</v>
      </c>
      <c r="J51" s="25" t="s">
        <v>2184</v>
      </c>
      <c r="K51" s="43" t="s">
        <v>2185</v>
      </c>
    </row>
    <row r="52" spans="1:11" ht="30" x14ac:dyDescent="0.25">
      <c r="A52" s="25">
        <v>51</v>
      </c>
      <c r="B52" s="25" t="s">
        <v>1016</v>
      </c>
      <c r="C52" s="25" t="s">
        <v>18</v>
      </c>
      <c r="D52" s="25" t="s">
        <v>2182</v>
      </c>
      <c r="E52" s="44" t="s">
        <v>2308</v>
      </c>
      <c r="F52" s="48">
        <v>94</v>
      </c>
      <c r="G52" s="49">
        <v>92</v>
      </c>
      <c r="H52" s="49">
        <v>92</v>
      </c>
      <c r="I52" s="50">
        <f t="shared" si="1"/>
        <v>93</v>
      </c>
      <c r="J52" s="25" t="s">
        <v>2184</v>
      </c>
      <c r="K52" s="43" t="s">
        <v>2185</v>
      </c>
    </row>
    <row r="53" spans="1:11" ht="30" x14ac:dyDescent="0.25">
      <c r="A53" s="25">
        <v>52</v>
      </c>
      <c r="B53" s="25" t="s">
        <v>2309</v>
      </c>
      <c r="C53" s="25" t="s">
        <v>62</v>
      </c>
      <c r="D53" s="25" t="s">
        <v>2182</v>
      </c>
      <c r="E53" s="44" t="s">
        <v>2308</v>
      </c>
      <c r="F53" s="48">
        <v>93</v>
      </c>
      <c r="G53" s="49">
        <v>92</v>
      </c>
      <c r="H53" s="49">
        <v>91</v>
      </c>
      <c r="I53" s="50">
        <f t="shared" si="1"/>
        <v>92</v>
      </c>
      <c r="J53" s="25" t="s">
        <v>2184</v>
      </c>
      <c r="K53" s="43" t="s">
        <v>2185</v>
      </c>
    </row>
    <row r="54" spans="1:11" ht="30" x14ac:dyDescent="0.25">
      <c r="A54" s="25">
        <v>53</v>
      </c>
      <c r="B54" s="25" t="s">
        <v>2310</v>
      </c>
      <c r="C54" s="25" t="s">
        <v>2311</v>
      </c>
      <c r="D54" s="25" t="s">
        <v>2182</v>
      </c>
      <c r="E54" s="44" t="s">
        <v>2308</v>
      </c>
      <c r="F54" s="48">
        <v>92</v>
      </c>
      <c r="G54" s="49">
        <v>91</v>
      </c>
      <c r="H54" s="49">
        <v>90</v>
      </c>
      <c r="I54" s="50">
        <f t="shared" si="1"/>
        <v>91</v>
      </c>
      <c r="J54" s="25" t="s">
        <v>2184</v>
      </c>
      <c r="K54" s="43" t="s">
        <v>2185</v>
      </c>
    </row>
    <row r="55" spans="1:11" ht="30" x14ac:dyDescent="0.25">
      <c r="A55" s="25">
        <v>54</v>
      </c>
      <c r="B55" s="25" t="s">
        <v>2312</v>
      </c>
      <c r="C55" s="25" t="s">
        <v>2313</v>
      </c>
      <c r="D55" s="25" t="s">
        <v>2244</v>
      </c>
      <c r="E55" s="44" t="s">
        <v>2314</v>
      </c>
      <c r="F55" s="48">
        <v>91</v>
      </c>
      <c r="G55" s="49">
        <v>90</v>
      </c>
      <c r="H55" s="49">
        <v>89</v>
      </c>
      <c r="I55" s="50">
        <f t="shared" si="1"/>
        <v>90</v>
      </c>
      <c r="J55" s="25" t="s">
        <v>2184</v>
      </c>
      <c r="K55" s="43" t="s">
        <v>2185</v>
      </c>
    </row>
    <row r="56" spans="1:11" ht="30" x14ac:dyDescent="0.25">
      <c r="A56" s="25">
        <v>55</v>
      </c>
      <c r="B56" s="25" t="s">
        <v>2315</v>
      </c>
      <c r="C56" s="25" t="s">
        <v>2316</v>
      </c>
      <c r="D56" s="25" t="s">
        <v>2182</v>
      </c>
      <c r="E56" s="44" t="s">
        <v>2308</v>
      </c>
      <c r="F56" s="48">
        <v>90</v>
      </c>
      <c r="G56" s="49">
        <v>89</v>
      </c>
      <c r="H56" s="49">
        <v>88</v>
      </c>
      <c r="I56" s="50">
        <f t="shared" si="1"/>
        <v>89</v>
      </c>
      <c r="J56" s="25" t="s">
        <v>2184</v>
      </c>
      <c r="K56" s="43" t="s">
        <v>2185</v>
      </c>
    </row>
    <row r="57" spans="1:11" ht="30" x14ac:dyDescent="0.25">
      <c r="A57" s="25">
        <v>56</v>
      </c>
      <c r="B57" s="25" t="s">
        <v>2317</v>
      </c>
      <c r="C57" s="25" t="s">
        <v>741</v>
      </c>
      <c r="D57" s="25" t="s">
        <v>2182</v>
      </c>
      <c r="E57" s="44" t="s">
        <v>2308</v>
      </c>
      <c r="F57" s="48">
        <v>90</v>
      </c>
      <c r="G57" s="49">
        <v>89</v>
      </c>
      <c r="H57" s="49">
        <v>88</v>
      </c>
      <c r="I57" s="50">
        <f t="shared" si="1"/>
        <v>89</v>
      </c>
      <c r="J57" s="25" t="s">
        <v>2184</v>
      </c>
      <c r="K57" s="43" t="s">
        <v>2185</v>
      </c>
    </row>
    <row r="58" spans="1:11" ht="30" x14ac:dyDescent="0.25">
      <c r="A58" s="25">
        <v>57</v>
      </c>
      <c r="B58" s="25" t="s">
        <v>2318</v>
      </c>
      <c r="C58" s="25" t="s">
        <v>62</v>
      </c>
      <c r="D58" s="25" t="s">
        <v>2244</v>
      </c>
      <c r="E58" s="44" t="s">
        <v>2314</v>
      </c>
      <c r="F58" s="48">
        <v>89</v>
      </c>
      <c r="G58" s="49">
        <v>88</v>
      </c>
      <c r="H58" s="49">
        <v>87</v>
      </c>
      <c r="I58" s="50">
        <f t="shared" si="1"/>
        <v>88</v>
      </c>
      <c r="J58" s="25" t="s">
        <v>2184</v>
      </c>
      <c r="K58" s="43" t="s">
        <v>2185</v>
      </c>
    </row>
    <row r="59" spans="1:11" ht="30" x14ac:dyDescent="0.25">
      <c r="A59" s="25">
        <v>58</v>
      </c>
      <c r="B59" s="25" t="s">
        <v>2319</v>
      </c>
      <c r="C59" s="25" t="s">
        <v>62</v>
      </c>
      <c r="D59" s="25" t="s">
        <v>2205</v>
      </c>
      <c r="E59" s="44" t="s">
        <v>2320</v>
      </c>
      <c r="F59" s="48">
        <v>89</v>
      </c>
      <c r="G59" s="49">
        <v>88</v>
      </c>
      <c r="H59" s="49">
        <v>87</v>
      </c>
      <c r="I59" s="50">
        <f t="shared" si="1"/>
        <v>88</v>
      </c>
      <c r="J59" s="25" t="s">
        <v>2184</v>
      </c>
      <c r="K59" s="43" t="s">
        <v>2185</v>
      </c>
    </row>
    <row r="60" spans="1:11" ht="30" x14ac:dyDescent="0.25">
      <c r="A60" s="25">
        <v>59</v>
      </c>
      <c r="B60" s="25" t="s">
        <v>2321</v>
      </c>
      <c r="C60" s="25" t="s">
        <v>2313</v>
      </c>
      <c r="D60" s="25" t="s">
        <v>2322</v>
      </c>
      <c r="E60" s="44" t="s">
        <v>2323</v>
      </c>
      <c r="F60" s="48">
        <v>89</v>
      </c>
      <c r="G60" s="49">
        <v>88</v>
      </c>
      <c r="H60" s="49">
        <v>87</v>
      </c>
      <c r="I60" s="50">
        <f t="shared" si="1"/>
        <v>88</v>
      </c>
      <c r="J60" s="25" t="s">
        <v>2184</v>
      </c>
      <c r="K60" s="43" t="s">
        <v>2185</v>
      </c>
    </row>
    <row r="61" spans="1:11" ht="30" x14ac:dyDescent="0.25">
      <c r="A61" s="25">
        <v>60</v>
      </c>
      <c r="B61" s="25" t="s">
        <v>2324</v>
      </c>
      <c r="C61" s="25" t="s">
        <v>62</v>
      </c>
      <c r="D61" s="25" t="s">
        <v>2244</v>
      </c>
      <c r="E61" s="44" t="s">
        <v>2314</v>
      </c>
      <c r="F61" s="48">
        <v>89</v>
      </c>
      <c r="G61" s="49">
        <v>88</v>
      </c>
      <c r="H61" s="49">
        <v>87</v>
      </c>
      <c r="I61" s="50">
        <f t="shared" si="1"/>
        <v>88</v>
      </c>
      <c r="J61" s="25" t="s">
        <v>2184</v>
      </c>
      <c r="K61" s="43" t="s">
        <v>2185</v>
      </c>
    </row>
    <row r="62" spans="1:11" ht="30" x14ac:dyDescent="0.25">
      <c r="A62" s="25">
        <v>61</v>
      </c>
      <c r="B62" s="25" t="s">
        <v>2325</v>
      </c>
      <c r="C62" s="25" t="s">
        <v>62</v>
      </c>
      <c r="D62" s="25" t="s">
        <v>2182</v>
      </c>
      <c r="E62" s="44" t="s">
        <v>2308</v>
      </c>
      <c r="F62" s="48">
        <v>89</v>
      </c>
      <c r="G62" s="49">
        <v>88</v>
      </c>
      <c r="H62" s="49">
        <v>87</v>
      </c>
      <c r="I62" s="50">
        <f t="shared" si="1"/>
        <v>88</v>
      </c>
      <c r="J62" s="25" t="s">
        <v>2184</v>
      </c>
      <c r="K62" s="43" t="s">
        <v>2185</v>
      </c>
    </row>
    <row r="63" spans="1:11" ht="30" x14ac:dyDescent="0.25">
      <c r="A63" s="25">
        <v>62</v>
      </c>
      <c r="B63" s="25" t="s">
        <v>2326</v>
      </c>
      <c r="C63" s="25" t="s">
        <v>180</v>
      </c>
      <c r="D63" s="25" t="s">
        <v>2182</v>
      </c>
      <c r="E63" s="44" t="s">
        <v>2308</v>
      </c>
      <c r="F63" s="48">
        <v>89</v>
      </c>
      <c r="G63" s="49">
        <v>88</v>
      </c>
      <c r="H63" s="49">
        <v>87</v>
      </c>
      <c r="I63" s="50">
        <f t="shared" si="1"/>
        <v>88</v>
      </c>
      <c r="J63" s="25" t="s">
        <v>2184</v>
      </c>
      <c r="K63" s="43" t="s">
        <v>2185</v>
      </c>
    </row>
    <row r="64" spans="1:11" ht="30" x14ac:dyDescent="0.25">
      <c r="A64" s="25">
        <v>63</v>
      </c>
      <c r="B64" s="25" t="s">
        <v>2327</v>
      </c>
      <c r="C64" s="25" t="s">
        <v>2313</v>
      </c>
      <c r="D64" s="25" t="s">
        <v>2328</v>
      </c>
      <c r="E64" s="44" t="s">
        <v>2329</v>
      </c>
      <c r="F64" s="48">
        <v>88</v>
      </c>
      <c r="G64" s="49">
        <v>87</v>
      </c>
      <c r="H64" s="49">
        <v>86</v>
      </c>
      <c r="I64" s="50">
        <f t="shared" si="1"/>
        <v>87</v>
      </c>
      <c r="J64" s="25" t="s">
        <v>2184</v>
      </c>
      <c r="K64" s="43" t="s">
        <v>2185</v>
      </c>
    </row>
    <row r="65" spans="1:11" ht="30" x14ac:dyDescent="0.25">
      <c r="A65" s="25">
        <v>64</v>
      </c>
      <c r="B65" s="25" t="s">
        <v>2330</v>
      </c>
      <c r="C65" s="25" t="s">
        <v>62</v>
      </c>
      <c r="D65" s="25" t="s">
        <v>2331</v>
      </c>
      <c r="E65" s="44" t="s">
        <v>2332</v>
      </c>
      <c r="F65" s="48">
        <v>88</v>
      </c>
      <c r="G65" s="49">
        <v>87</v>
      </c>
      <c r="H65" s="49">
        <v>86</v>
      </c>
      <c r="I65" s="50">
        <f t="shared" si="1"/>
        <v>87</v>
      </c>
      <c r="J65" s="25" t="s">
        <v>2184</v>
      </c>
      <c r="K65" s="43" t="s">
        <v>2185</v>
      </c>
    </row>
    <row r="66" spans="1:11" ht="30" x14ac:dyDescent="0.25">
      <c r="A66" s="25">
        <v>65</v>
      </c>
      <c r="B66" s="25" t="s">
        <v>2333</v>
      </c>
      <c r="C66" s="25" t="s">
        <v>62</v>
      </c>
      <c r="D66" s="25" t="s">
        <v>2267</v>
      </c>
      <c r="E66" s="44" t="s">
        <v>2334</v>
      </c>
      <c r="F66" s="48">
        <v>88</v>
      </c>
      <c r="G66" s="49">
        <v>87</v>
      </c>
      <c r="H66" s="49">
        <v>86</v>
      </c>
      <c r="I66" s="50">
        <f t="shared" ref="I66:I97" si="2">ROUND(F66*0.55+G66*0.3+H66*0.15,0)</f>
        <v>87</v>
      </c>
      <c r="J66" s="25" t="s">
        <v>2184</v>
      </c>
      <c r="K66" s="43" t="s">
        <v>2185</v>
      </c>
    </row>
    <row r="67" spans="1:11" ht="30" x14ac:dyDescent="0.25">
      <c r="A67" s="25">
        <v>66</v>
      </c>
      <c r="B67" s="25" t="s">
        <v>2335</v>
      </c>
      <c r="C67" s="25" t="s">
        <v>96</v>
      </c>
      <c r="D67" s="25" t="s">
        <v>2331</v>
      </c>
      <c r="E67" s="44" t="s">
        <v>2332</v>
      </c>
      <c r="F67" s="48">
        <v>88</v>
      </c>
      <c r="G67" s="49">
        <v>87</v>
      </c>
      <c r="H67" s="49">
        <v>86</v>
      </c>
      <c r="I67" s="50">
        <f t="shared" si="2"/>
        <v>87</v>
      </c>
      <c r="J67" s="25" t="s">
        <v>2184</v>
      </c>
      <c r="K67" s="43" t="s">
        <v>2185</v>
      </c>
    </row>
    <row r="68" spans="1:11" ht="30" x14ac:dyDescent="0.25">
      <c r="A68" s="25">
        <v>67</v>
      </c>
      <c r="B68" s="25" t="s">
        <v>2336</v>
      </c>
      <c r="C68" s="25" t="s">
        <v>62</v>
      </c>
      <c r="D68" s="25" t="s">
        <v>2337</v>
      </c>
      <c r="E68" s="44" t="s">
        <v>2338</v>
      </c>
      <c r="F68" s="48">
        <v>88</v>
      </c>
      <c r="G68" s="49">
        <v>87</v>
      </c>
      <c r="H68" s="49">
        <v>86</v>
      </c>
      <c r="I68" s="50">
        <f t="shared" si="2"/>
        <v>87</v>
      </c>
      <c r="J68" s="25" t="s">
        <v>2184</v>
      </c>
      <c r="K68" s="43" t="s">
        <v>2185</v>
      </c>
    </row>
    <row r="69" spans="1:11" ht="30" x14ac:dyDescent="0.25">
      <c r="A69" s="25">
        <v>68</v>
      </c>
      <c r="B69" s="25" t="s">
        <v>2339</v>
      </c>
      <c r="C69" s="25" t="s">
        <v>18</v>
      </c>
      <c r="D69" s="25" t="s">
        <v>2331</v>
      </c>
      <c r="E69" s="44" t="s">
        <v>2332</v>
      </c>
      <c r="F69" s="48">
        <v>88</v>
      </c>
      <c r="G69" s="49">
        <v>87</v>
      </c>
      <c r="H69" s="49">
        <v>86</v>
      </c>
      <c r="I69" s="50">
        <f t="shared" si="2"/>
        <v>87</v>
      </c>
      <c r="J69" s="25" t="s">
        <v>2184</v>
      </c>
      <c r="K69" s="43" t="s">
        <v>2185</v>
      </c>
    </row>
    <row r="70" spans="1:11" ht="30" x14ac:dyDescent="0.25">
      <c r="A70" s="25">
        <v>69</v>
      </c>
      <c r="B70" s="25" t="s">
        <v>2340</v>
      </c>
      <c r="C70" s="25" t="s">
        <v>2341</v>
      </c>
      <c r="D70" s="25" t="s">
        <v>2342</v>
      </c>
      <c r="E70" s="44" t="s">
        <v>2343</v>
      </c>
      <c r="F70" s="48">
        <v>88</v>
      </c>
      <c r="G70" s="49">
        <v>87</v>
      </c>
      <c r="H70" s="49">
        <v>86</v>
      </c>
      <c r="I70" s="50">
        <f t="shared" si="2"/>
        <v>87</v>
      </c>
      <c r="J70" s="25" t="s">
        <v>2184</v>
      </c>
      <c r="K70" s="43" t="s">
        <v>2185</v>
      </c>
    </row>
    <row r="71" spans="1:11" ht="30" x14ac:dyDescent="0.25">
      <c r="A71" s="25">
        <v>70</v>
      </c>
      <c r="B71" s="25" t="s">
        <v>2344</v>
      </c>
      <c r="C71" s="25" t="s">
        <v>2341</v>
      </c>
      <c r="D71" s="25" t="s">
        <v>2345</v>
      </c>
      <c r="E71" s="44" t="s">
        <v>2346</v>
      </c>
      <c r="F71" s="48">
        <v>88</v>
      </c>
      <c r="G71" s="49">
        <v>87</v>
      </c>
      <c r="H71" s="49">
        <v>86</v>
      </c>
      <c r="I71" s="50">
        <f t="shared" si="2"/>
        <v>87</v>
      </c>
      <c r="J71" s="25" t="s">
        <v>2184</v>
      </c>
      <c r="K71" s="43" t="s">
        <v>2185</v>
      </c>
    </row>
    <row r="72" spans="1:11" ht="30" x14ac:dyDescent="0.25">
      <c r="A72" s="25">
        <v>71</v>
      </c>
      <c r="B72" s="25" t="s">
        <v>2347</v>
      </c>
      <c r="C72" s="25" t="s">
        <v>2313</v>
      </c>
      <c r="D72" s="25" t="s">
        <v>2242</v>
      </c>
      <c r="E72" s="44" t="s">
        <v>2348</v>
      </c>
      <c r="F72" s="48">
        <v>88</v>
      </c>
      <c r="G72" s="49">
        <v>87</v>
      </c>
      <c r="H72" s="49">
        <v>86</v>
      </c>
      <c r="I72" s="50">
        <f t="shared" si="2"/>
        <v>87</v>
      </c>
      <c r="J72" s="25" t="s">
        <v>2184</v>
      </c>
      <c r="K72" s="43" t="s">
        <v>2185</v>
      </c>
    </row>
    <row r="73" spans="1:11" ht="30" x14ac:dyDescent="0.25">
      <c r="A73" s="25">
        <v>72</v>
      </c>
      <c r="B73" s="25" t="s">
        <v>2349</v>
      </c>
      <c r="C73" s="25" t="s">
        <v>37</v>
      </c>
      <c r="D73" s="25" t="s">
        <v>2182</v>
      </c>
      <c r="E73" s="44" t="s">
        <v>2308</v>
      </c>
      <c r="F73" s="48">
        <v>88</v>
      </c>
      <c r="G73" s="49">
        <v>87</v>
      </c>
      <c r="H73" s="49">
        <v>86</v>
      </c>
      <c r="I73" s="50">
        <f t="shared" si="2"/>
        <v>87</v>
      </c>
      <c r="J73" s="25" t="s">
        <v>2184</v>
      </c>
      <c r="K73" s="43" t="s">
        <v>2185</v>
      </c>
    </row>
    <row r="74" spans="1:11" ht="30" x14ac:dyDescent="0.25">
      <c r="A74" s="25">
        <v>73</v>
      </c>
      <c r="B74" s="25" t="s">
        <v>2350</v>
      </c>
      <c r="C74" s="25" t="s">
        <v>37</v>
      </c>
      <c r="D74" s="25" t="s">
        <v>2182</v>
      </c>
      <c r="E74" s="44" t="s">
        <v>2308</v>
      </c>
      <c r="F74" s="48">
        <v>88</v>
      </c>
      <c r="G74" s="49">
        <v>87</v>
      </c>
      <c r="H74" s="49">
        <v>86</v>
      </c>
      <c r="I74" s="50">
        <f t="shared" si="2"/>
        <v>87</v>
      </c>
      <c r="J74" s="25" t="s">
        <v>2184</v>
      </c>
      <c r="K74" s="43" t="s">
        <v>2185</v>
      </c>
    </row>
    <row r="75" spans="1:11" ht="30" x14ac:dyDescent="0.25">
      <c r="A75" s="25">
        <v>74</v>
      </c>
      <c r="B75" s="25" t="s">
        <v>2351</v>
      </c>
      <c r="C75" s="25" t="s">
        <v>2313</v>
      </c>
      <c r="D75" s="25" t="s">
        <v>2182</v>
      </c>
      <c r="E75" s="44" t="s">
        <v>2308</v>
      </c>
      <c r="F75" s="48">
        <v>88</v>
      </c>
      <c r="G75" s="49">
        <v>87</v>
      </c>
      <c r="H75" s="49">
        <v>86</v>
      </c>
      <c r="I75" s="50">
        <f t="shared" si="2"/>
        <v>87</v>
      </c>
      <c r="J75" s="25" t="s">
        <v>2184</v>
      </c>
      <c r="K75" s="43" t="s">
        <v>2185</v>
      </c>
    </row>
    <row r="76" spans="1:11" ht="30" x14ac:dyDescent="0.25">
      <c r="A76" s="25">
        <v>75</v>
      </c>
      <c r="B76" s="25" t="s">
        <v>2352</v>
      </c>
      <c r="C76" s="25" t="s">
        <v>2353</v>
      </c>
      <c r="D76" s="25" t="s">
        <v>2182</v>
      </c>
      <c r="E76" s="44" t="s">
        <v>2308</v>
      </c>
      <c r="F76" s="48">
        <v>87</v>
      </c>
      <c r="G76" s="49">
        <v>86</v>
      </c>
      <c r="H76" s="49">
        <v>85</v>
      </c>
      <c r="I76" s="50">
        <f t="shared" si="2"/>
        <v>86</v>
      </c>
      <c r="J76" s="25" t="s">
        <v>2184</v>
      </c>
      <c r="K76" s="43" t="s">
        <v>2185</v>
      </c>
    </row>
    <row r="77" spans="1:11" ht="30" x14ac:dyDescent="0.25">
      <c r="A77" s="25">
        <v>76</v>
      </c>
      <c r="B77" s="25" t="s">
        <v>2354</v>
      </c>
      <c r="C77" s="25" t="s">
        <v>62</v>
      </c>
      <c r="D77" s="25" t="s">
        <v>2182</v>
      </c>
      <c r="E77" s="44" t="s">
        <v>2308</v>
      </c>
      <c r="F77" s="48">
        <v>87</v>
      </c>
      <c r="G77" s="49">
        <v>86</v>
      </c>
      <c r="H77" s="49">
        <v>85</v>
      </c>
      <c r="I77" s="50">
        <f t="shared" si="2"/>
        <v>86</v>
      </c>
      <c r="J77" s="25" t="s">
        <v>2184</v>
      </c>
      <c r="K77" s="43" t="s">
        <v>2185</v>
      </c>
    </row>
    <row r="78" spans="1:11" ht="30" x14ac:dyDescent="0.25">
      <c r="A78" s="25">
        <v>77</v>
      </c>
      <c r="B78" s="25" t="s">
        <v>2355</v>
      </c>
      <c r="C78" s="25" t="s">
        <v>180</v>
      </c>
      <c r="D78" s="25" t="s">
        <v>2267</v>
      </c>
      <c r="E78" s="44" t="s">
        <v>2334</v>
      </c>
      <c r="F78" s="48">
        <v>87</v>
      </c>
      <c r="G78" s="49">
        <v>86</v>
      </c>
      <c r="H78" s="49">
        <v>85</v>
      </c>
      <c r="I78" s="50">
        <f t="shared" si="2"/>
        <v>86</v>
      </c>
      <c r="J78" s="25" t="s">
        <v>2184</v>
      </c>
      <c r="K78" s="43" t="s">
        <v>2185</v>
      </c>
    </row>
    <row r="79" spans="1:11" ht="30" x14ac:dyDescent="0.25">
      <c r="A79" s="25">
        <v>78</v>
      </c>
      <c r="B79" s="25" t="s">
        <v>2356</v>
      </c>
      <c r="C79" s="25" t="s">
        <v>62</v>
      </c>
      <c r="D79" s="25" t="s">
        <v>2242</v>
      </c>
      <c r="E79" s="44" t="s">
        <v>2348</v>
      </c>
      <c r="F79" s="48">
        <v>87</v>
      </c>
      <c r="G79" s="49">
        <v>86</v>
      </c>
      <c r="H79" s="49">
        <v>85</v>
      </c>
      <c r="I79" s="50">
        <f t="shared" si="2"/>
        <v>86</v>
      </c>
      <c r="J79" s="25" t="s">
        <v>2184</v>
      </c>
      <c r="K79" s="43" t="s">
        <v>2185</v>
      </c>
    </row>
    <row r="80" spans="1:11" ht="30" x14ac:dyDescent="0.25">
      <c r="A80" s="25">
        <v>79</v>
      </c>
      <c r="B80" s="25" t="s">
        <v>1393</v>
      </c>
      <c r="C80" s="25" t="s">
        <v>18</v>
      </c>
      <c r="D80" s="25" t="s">
        <v>2182</v>
      </c>
      <c r="E80" s="44" t="s">
        <v>2308</v>
      </c>
      <c r="F80" s="48">
        <v>87</v>
      </c>
      <c r="G80" s="49">
        <v>86</v>
      </c>
      <c r="H80" s="49">
        <v>85</v>
      </c>
      <c r="I80" s="50">
        <f t="shared" si="2"/>
        <v>86</v>
      </c>
      <c r="J80" s="25" t="s">
        <v>2184</v>
      </c>
      <c r="K80" s="43" t="s">
        <v>2185</v>
      </c>
    </row>
    <row r="81" spans="1:11" ht="30" x14ac:dyDescent="0.25">
      <c r="A81" s="25">
        <v>80</v>
      </c>
      <c r="B81" s="25" t="s">
        <v>2357</v>
      </c>
      <c r="C81" s="25" t="s">
        <v>2313</v>
      </c>
      <c r="D81" s="25" t="s">
        <v>2182</v>
      </c>
      <c r="E81" s="44" t="s">
        <v>2308</v>
      </c>
      <c r="F81" s="48">
        <v>87</v>
      </c>
      <c r="G81" s="49">
        <v>86</v>
      </c>
      <c r="H81" s="49">
        <v>85</v>
      </c>
      <c r="I81" s="50">
        <f t="shared" si="2"/>
        <v>86</v>
      </c>
      <c r="J81" s="25" t="s">
        <v>2184</v>
      </c>
      <c r="K81" s="43" t="s">
        <v>2185</v>
      </c>
    </row>
    <row r="82" spans="1:11" ht="30" x14ac:dyDescent="0.25">
      <c r="A82" s="25">
        <v>81</v>
      </c>
      <c r="B82" s="25" t="s">
        <v>1448</v>
      </c>
      <c r="C82" s="25" t="s">
        <v>37</v>
      </c>
      <c r="D82" s="25" t="s">
        <v>2182</v>
      </c>
      <c r="E82" s="44" t="s">
        <v>2308</v>
      </c>
      <c r="F82" s="48">
        <v>87</v>
      </c>
      <c r="G82" s="49">
        <v>86</v>
      </c>
      <c r="H82" s="49">
        <v>85</v>
      </c>
      <c r="I82" s="50">
        <f t="shared" si="2"/>
        <v>86</v>
      </c>
      <c r="J82" s="25" t="s">
        <v>2184</v>
      </c>
      <c r="K82" s="43" t="s">
        <v>2185</v>
      </c>
    </row>
    <row r="83" spans="1:11" ht="30" x14ac:dyDescent="0.25">
      <c r="A83" s="25">
        <v>82</v>
      </c>
      <c r="B83" s="25" t="s">
        <v>2358</v>
      </c>
      <c r="C83" s="25" t="s">
        <v>2313</v>
      </c>
      <c r="D83" s="25" t="s">
        <v>2182</v>
      </c>
      <c r="E83" s="44" t="s">
        <v>2308</v>
      </c>
      <c r="F83" s="48">
        <v>87</v>
      </c>
      <c r="G83" s="49">
        <v>86</v>
      </c>
      <c r="H83" s="49">
        <v>85</v>
      </c>
      <c r="I83" s="50">
        <f t="shared" si="2"/>
        <v>86</v>
      </c>
      <c r="J83" s="25" t="s">
        <v>2184</v>
      </c>
      <c r="K83" s="43" t="s">
        <v>2185</v>
      </c>
    </row>
    <row r="84" spans="1:11" ht="30" x14ac:dyDescent="0.25">
      <c r="A84" s="25">
        <v>83</v>
      </c>
      <c r="B84" s="25" t="s">
        <v>2359</v>
      </c>
      <c r="C84" s="25" t="s">
        <v>180</v>
      </c>
      <c r="D84" s="25" t="s">
        <v>2244</v>
      </c>
      <c r="E84" s="44" t="s">
        <v>2314</v>
      </c>
      <c r="F84" s="48">
        <v>87</v>
      </c>
      <c r="G84" s="49">
        <v>86</v>
      </c>
      <c r="H84" s="49">
        <v>85</v>
      </c>
      <c r="I84" s="50">
        <f t="shared" si="2"/>
        <v>86</v>
      </c>
      <c r="J84" s="25" t="s">
        <v>2184</v>
      </c>
      <c r="K84" s="43" t="s">
        <v>2185</v>
      </c>
    </row>
    <row r="85" spans="1:11" ht="30" x14ac:dyDescent="0.25">
      <c r="A85" s="25">
        <v>84</v>
      </c>
      <c r="B85" s="25" t="s">
        <v>2360</v>
      </c>
      <c r="C85" s="25" t="s">
        <v>2341</v>
      </c>
      <c r="D85" s="25" t="s">
        <v>2182</v>
      </c>
      <c r="E85" s="44" t="s">
        <v>2308</v>
      </c>
      <c r="F85" s="48">
        <v>87</v>
      </c>
      <c r="G85" s="49">
        <v>86</v>
      </c>
      <c r="H85" s="49">
        <v>85</v>
      </c>
      <c r="I85" s="50">
        <f t="shared" si="2"/>
        <v>86</v>
      </c>
      <c r="J85" s="25" t="s">
        <v>2184</v>
      </c>
      <c r="K85" s="43" t="s">
        <v>2185</v>
      </c>
    </row>
    <row r="86" spans="1:11" ht="30" x14ac:dyDescent="0.25">
      <c r="A86" s="25">
        <v>85</v>
      </c>
      <c r="B86" s="25" t="s">
        <v>2361</v>
      </c>
      <c r="C86" s="25" t="s">
        <v>96</v>
      </c>
      <c r="D86" s="25" t="s">
        <v>2244</v>
      </c>
      <c r="E86" s="44" t="s">
        <v>2314</v>
      </c>
      <c r="F86" s="48">
        <v>87</v>
      </c>
      <c r="G86" s="49">
        <v>86</v>
      </c>
      <c r="H86" s="49">
        <v>85</v>
      </c>
      <c r="I86" s="50">
        <f t="shared" si="2"/>
        <v>86</v>
      </c>
      <c r="J86" s="25" t="s">
        <v>2184</v>
      </c>
      <c r="K86" s="43" t="s">
        <v>2185</v>
      </c>
    </row>
    <row r="87" spans="1:11" ht="30" x14ac:dyDescent="0.25">
      <c r="A87" s="25">
        <v>86</v>
      </c>
      <c r="B87" s="25" t="s">
        <v>2362</v>
      </c>
      <c r="C87" s="25" t="s">
        <v>62</v>
      </c>
      <c r="D87" s="25" t="s">
        <v>2267</v>
      </c>
      <c r="E87" s="44" t="s">
        <v>2334</v>
      </c>
      <c r="F87" s="48">
        <v>87</v>
      </c>
      <c r="G87" s="49">
        <v>86</v>
      </c>
      <c r="H87" s="49">
        <v>85</v>
      </c>
      <c r="I87" s="50">
        <f t="shared" si="2"/>
        <v>86</v>
      </c>
      <c r="J87" s="25" t="s">
        <v>2184</v>
      </c>
      <c r="K87" s="43" t="s">
        <v>2185</v>
      </c>
    </row>
    <row r="88" spans="1:11" ht="30" x14ac:dyDescent="0.25">
      <c r="A88" s="25">
        <v>87</v>
      </c>
      <c r="B88" s="25" t="s">
        <v>2363</v>
      </c>
      <c r="C88" s="25" t="s">
        <v>741</v>
      </c>
      <c r="D88" s="25" t="s">
        <v>2182</v>
      </c>
      <c r="E88" s="44" t="s">
        <v>2308</v>
      </c>
      <c r="F88" s="48">
        <v>87</v>
      </c>
      <c r="G88" s="49">
        <v>86</v>
      </c>
      <c r="H88" s="49">
        <v>85</v>
      </c>
      <c r="I88" s="50">
        <f t="shared" si="2"/>
        <v>86</v>
      </c>
      <c r="J88" s="25" t="s">
        <v>2184</v>
      </c>
      <c r="K88" s="43" t="s">
        <v>2185</v>
      </c>
    </row>
    <row r="89" spans="1:11" ht="30" x14ac:dyDescent="0.25">
      <c r="A89" s="25">
        <v>88</v>
      </c>
      <c r="B89" s="25" t="s">
        <v>2364</v>
      </c>
      <c r="C89" s="25" t="s">
        <v>18</v>
      </c>
      <c r="D89" s="25" t="s">
        <v>2337</v>
      </c>
      <c r="E89" s="44" t="s">
        <v>2338</v>
      </c>
      <c r="F89" s="48">
        <v>86</v>
      </c>
      <c r="G89" s="49">
        <v>85</v>
      </c>
      <c r="H89" s="49">
        <v>84</v>
      </c>
      <c r="I89" s="50">
        <f t="shared" si="2"/>
        <v>85</v>
      </c>
      <c r="J89" s="25" t="s">
        <v>2184</v>
      </c>
      <c r="K89" s="43" t="s">
        <v>2185</v>
      </c>
    </row>
    <row r="90" spans="1:11" ht="30" x14ac:dyDescent="0.25">
      <c r="A90" s="25">
        <v>89</v>
      </c>
      <c r="B90" s="25" t="s">
        <v>2365</v>
      </c>
      <c r="C90" s="25" t="s">
        <v>741</v>
      </c>
      <c r="D90" s="25" t="s">
        <v>2244</v>
      </c>
      <c r="E90" s="44" t="s">
        <v>2314</v>
      </c>
      <c r="F90" s="48">
        <v>86</v>
      </c>
      <c r="G90" s="49">
        <v>85</v>
      </c>
      <c r="H90" s="49">
        <v>84</v>
      </c>
      <c r="I90" s="50">
        <f t="shared" si="2"/>
        <v>85</v>
      </c>
      <c r="J90" s="25" t="s">
        <v>2184</v>
      </c>
      <c r="K90" s="43" t="s">
        <v>2185</v>
      </c>
    </row>
    <row r="91" spans="1:11" ht="30" x14ac:dyDescent="0.25">
      <c r="A91" s="25">
        <v>90</v>
      </c>
      <c r="B91" s="25" t="s">
        <v>2366</v>
      </c>
      <c r="C91" s="25" t="s">
        <v>62</v>
      </c>
      <c r="D91" s="25" t="s">
        <v>2331</v>
      </c>
      <c r="E91" s="44" t="s">
        <v>2332</v>
      </c>
      <c r="F91" s="48">
        <v>86</v>
      </c>
      <c r="G91" s="49">
        <v>85</v>
      </c>
      <c r="H91" s="49">
        <v>84</v>
      </c>
      <c r="I91" s="50">
        <f t="shared" si="2"/>
        <v>85</v>
      </c>
      <c r="J91" s="25" t="s">
        <v>2184</v>
      </c>
      <c r="K91" s="43" t="s">
        <v>2185</v>
      </c>
    </row>
    <row r="92" spans="1:11" ht="30" x14ac:dyDescent="0.25">
      <c r="A92" s="25">
        <v>91</v>
      </c>
      <c r="B92" s="25" t="s">
        <v>2367</v>
      </c>
      <c r="C92" s="25" t="s">
        <v>62</v>
      </c>
      <c r="D92" s="25" t="s">
        <v>2337</v>
      </c>
      <c r="E92" s="44" t="s">
        <v>2338</v>
      </c>
      <c r="F92" s="48">
        <v>86</v>
      </c>
      <c r="G92" s="49">
        <v>85</v>
      </c>
      <c r="H92" s="49">
        <v>84</v>
      </c>
      <c r="I92" s="50">
        <f t="shared" si="2"/>
        <v>85</v>
      </c>
      <c r="J92" s="25" t="s">
        <v>2184</v>
      </c>
      <c r="K92" s="43" t="s">
        <v>2185</v>
      </c>
    </row>
    <row r="93" spans="1:11" ht="30" x14ac:dyDescent="0.25">
      <c r="A93" s="25">
        <v>92</v>
      </c>
      <c r="B93" s="25" t="s">
        <v>2368</v>
      </c>
      <c r="C93" s="25" t="s">
        <v>96</v>
      </c>
      <c r="D93" s="25" t="s">
        <v>2244</v>
      </c>
      <c r="E93" s="44" t="s">
        <v>2314</v>
      </c>
      <c r="F93" s="48">
        <v>86</v>
      </c>
      <c r="G93" s="49">
        <v>85</v>
      </c>
      <c r="H93" s="49">
        <v>84</v>
      </c>
      <c r="I93" s="50">
        <f t="shared" si="2"/>
        <v>85</v>
      </c>
      <c r="J93" s="25" t="s">
        <v>2184</v>
      </c>
      <c r="K93" s="43" t="s">
        <v>2185</v>
      </c>
    </row>
    <row r="94" spans="1:11" ht="30" x14ac:dyDescent="0.25">
      <c r="A94" s="25">
        <v>93</v>
      </c>
      <c r="B94" s="25" t="s">
        <v>977</v>
      </c>
      <c r="C94" s="25" t="s">
        <v>2313</v>
      </c>
      <c r="D94" s="25" t="s">
        <v>2205</v>
      </c>
      <c r="E94" s="44" t="s">
        <v>2320</v>
      </c>
      <c r="F94" s="48">
        <v>86</v>
      </c>
      <c r="G94" s="49">
        <v>85</v>
      </c>
      <c r="H94" s="49">
        <v>84</v>
      </c>
      <c r="I94" s="50">
        <f t="shared" si="2"/>
        <v>85</v>
      </c>
      <c r="J94" s="25" t="s">
        <v>2184</v>
      </c>
      <c r="K94" s="43" t="s">
        <v>2185</v>
      </c>
    </row>
    <row r="95" spans="1:11" ht="30" x14ac:dyDescent="0.25">
      <c r="A95" s="25">
        <v>94</v>
      </c>
      <c r="B95" s="25" t="s">
        <v>2369</v>
      </c>
      <c r="C95" s="25" t="s">
        <v>2370</v>
      </c>
      <c r="D95" s="25" t="s">
        <v>2242</v>
      </c>
      <c r="E95" s="44" t="s">
        <v>2348</v>
      </c>
      <c r="F95" s="48">
        <v>86</v>
      </c>
      <c r="G95" s="49">
        <v>85</v>
      </c>
      <c r="H95" s="49">
        <v>84</v>
      </c>
      <c r="I95" s="50">
        <f t="shared" si="2"/>
        <v>85</v>
      </c>
      <c r="J95" s="25" t="s">
        <v>2184</v>
      </c>
      <c r="K95" s="43" t="s">
        <v>2185</v>
      </c>
    </row>
    <row r="96" spans="1:11" ht="30" x14ac:dyDescent="0.25">
      <c r="A96" s="25">
        <v>95</v>
      </c>
      <c r="B96" s="25" t="s">
        <v>2371</v>
      </c>
      <c r="C96" s="25" t="s">
        <v>96</v>
      </c>
      <c r="D96" s="25" t="s">
        <v>2267</v>
      </c>
      <c r="E96" s="44" t="s">
        <v>2334</v>
      </c>
      <c r="F96" s="48">
        <v>86</v>
      </c>
      <c r="G96" s="49">
        <v>85</v>
      </c>
      <c r="H96" s="49">
        <v>84</v>
      </c>
      <c r="I96" s="50">
        <f t="shared" si="2"/>
        <v>85</v>
      </c>
      <c r="J96" s="25" t="s">
        <v>2184</v>
      </c>
      <c r="K96" s="43" t="s">
        <v>2185</v>
      </c>
    </row>
    <row r="97" spans="1:11" ht="30" x14ac:dyDescent="0.25">
      <c r="A97" s="25">
        <v>96</v>
      </c>
      <c r="B97" s="25" t="s">
        <v>46</v>
      </c>
      <c r="C97" s="25" t="s">
        <v>180</v>
      </c>
      <c r="D97" s="25" t="s">
        <v>2328</v>
      </c>
      <c r="E97" s="44" t="s">
        <v>2329</v>
      </c>
      <c r="F97" s="48">
        <v>86</v>
      </c>
      <c r="G97" s="49">
        <v>85</v>
      </c>
      <c r="H97" s="49">
        <v>84</v>
      </c>
      <c r="I97" s="50">
        <f t="shared" si="2"/>
        <v>85</v>
      </c>
      <c r="J97" s="25" t="s">
        <v>2184</v>
      </c>
      <c r="K97" s="43" t="s">
        <v>2185</v>
      </c>
    </row>
    <row r="98" spans="1:11" ht="30" x14ac:dyDescent="0.25">
      <c r="A98" s="25">
        <v>97</v>
      </c>
      <c r="B98" s="25" t="s">
        <v>2372</v>
      </c>
      <c r="C98" s="25" t="s">
        <v>96</v>
      </c>
      <c r="D98" s="25" t="s">
        <v>2267</v>
      </c>
      <c r="E98" s="44" t="s">
        <v>2334</v>
      </c>
      <c r="F98" s="48">
        <v>86</v>
      </c>
      <c r="G98" s="49">
        <v>85</v>
      </c>
      <c r="H98" s="49">
        <v>84</v>
      </c>
      <c r="I98" s="50">
        <f t="shared" ref="I98:I129" si="3">ROUND(F98*0.55+G98*0.3+H98*0.15,0)</f>
        <v>85</v>
      </c>
      <c r="J98" s="25" t="s">
        <v>2184</v>
      </c>
      <c r="K98" s="43" t="s">
        <v>2185</v>
      </c>
    </row>
    <row r="99" spans="1:11" ht="30" x14ac:dyDescent="0.25">
      <c r="A99" s="25">
        <v>98</v>
      </c>
      <c r="B99" s="25" t="s">
        <v>2373</v>
      </c>
      <c r="C99" s="25" t="s">
        <v>96</v>
      </c>
      <c r="D99" s="25" t="s">
        <v>2374</v>
      </c>
      <c r="E99" s="44" t="s">
        <v>2375</v>
      </c>
      <c r="F99" s="48">
        <v>86</v>
      </c>
      <c r="G99" s="49">
        <v>85</v>
      </c>
      <c r="H99" s="49">
        <v>84</v>
      </c>
      <c r="I99" s="50">
        <f t="shared" si="3"/>
        <v>85</v>
      </c>
      <c r="J99" s="25" t="s">
        <v>2184</v>
      </c>
      <c r="K99" s="43" t="s">
        <v>2185</v>
      </c>
    </row>
    <row r="100" spans="1:11" ht="30" x14ac:dyDescent="0.25">
      <c r="A100" s="25">
        <v>99</v>
      </c>
      <c r="B100" s="25" t="s">
        <v>2376</v>
      </c>
      <c r="C100" s="25" t="s">
        <v>180</v>
      </c>
      <c r="D100" s="25" t="s">
        <v>2182</v>
      </c>
      <c r="E100" s="44" t="s">
        <v>2308</v>
      </c>
      <c r="F100" s="48">
        <v>86</v>
      </c>
      <c r="G100" s="49">
        <v>85</v>
      </c>
      <c r="H100" s="49">
        <v>84</v>
      </c>
      <c r="I100" s="50">
        <f t="shared" si="3"/>
        <v>85</v>
      </c>
      <c r="J100" s="25" t="s">
        <v>2184</v>
      </c>
      <c r="K100" s="43" t="s">
        <v>2185</v>
      </c>
    </row>
    <row r="101" spans="1:11" ht="30" x14ac:dyDescent="0.25">
      <c r="A101" s="25">
        <v>100</v>
      </c>
      <c r="B101" s="25" t="s">
        <v>2377</v>
      </c>
      <c r="C101" s="25" t="s">
        <v>18</v>
      </c>
      <c r="D101" s="25" t="s">
        <v>2378</v>
      </c>
      <c r="E101" s="44" t="s">
        <v>2379</v>
      </c>
      <c r="F101" s="48">
        <v>86</v>
      </c>
      <c r="G101" s="49">
        <v>85</v>
      </c>
      <c r="H101" s="49">
        <v>84</v>
      </c>
      <c r="I101" s="50">
        <f t="shared" si="3"/>
        <v>85</v>
      </c>
      <c r="J101" s="25" t="s">
        <v>2184</v>
      </c>
      <c r="K101" s="43" t="s">
        <v>2185</v>
      </c>
    </row>
    <row r="102" spans="1:11" ht="30" x14ac:dyDescent="0.25">
      <c r="A102" s="25">
        <v>101</v>
      </c>
      <c r="B102" s="25" t="s">
        <v>2380</v>
      </c>
      <c r="C102" s="25" t="s">
        <v>741</v>
      </c>
      <c r="D102" s="25" t="s">
        <v>2182</v>
      </c>
      <c r="E102" s="44" t="s">
        <v>2308</v>
      </c>
      <c r="F102" s="48">
        <v>86</v>
      </c>
      <c r="G102" s="49">
        <v>85</v>
      </c>
      <c r="H102" s="49">
        <v>84</v>
      </c>
      <c r="I102" s="50">
        <f t="shared" si="3"/>
        <v>85</v>
      </c>
      <c r="J102" s="25" t="s">
        <v>2184</v>
      </c>
      <c r="K102" s="43" t="s">
        <v>2185</v>
      </c>
    </row>
    <row r="103" spans="1:11" ht="30" x14ac:dyDescent="0.25">
      <c r="A103" s="25">
        <v>102</v>
      </c>
      <c r="B103" s="25" t="s">
        <v>2381</v>
      </c>
      <c r="C103" s="25" t="s">
        <v>741</v>
      </c>
      <c r="D103" s="25" t="s">
        <v>2182</v>
      </c>
      <c r="E103" s="44" t="s">
        <v>2308</v>
      </c>
      <c r="F103" s="48">
        <v>86</v>
      </c>
      <c r="G103" s="49">
        <v>85</v>
      </c>
      <c r="H103" s="49">
        <v>84</v>
      </c>
      <c r="I103" s="50">
        <f t="shared" si="3"/>
        <v>85</v>
      </c>
      <c r="J103" s="25" t="s">
        <v>2184</v>
      </c>
      <c r="K103" s="43" t="s">
        <v>2185</v>
      </c>
    </row>
    <row r="104" spans="1:11" ht="30" x14ac:dyDescent="0.25">
      <c r="A104" s="25">
        <v>103</v>
      </c>
      <c r="B104" s="25" t="s">
        <v>2382</v>
      </c>
      <c r="C104" s="25" t="s">
        <v>96</v>
      </c>
      <c r="D104" s="25" t="s">
        <v>2284</v>
      </c>
      <c r="E104" s="44" t="s">
        <v>2383</v>
      </c>
      <c r="F104" s="48">
        <v>86</v>
      </c>
      <c r="G104" s="49">
        <v>85</v>
      </c>
      <c r="H104" s="49">
        <v>84</v>
      </c>
      <c r="I104" s="50">
        <f t="shared" si="3"/>
        <v>85</v>
      </c>
      <c r="J104" s="25" t="s">
        <v>2184</v>
      </c>
      <c r="K104" s="43" t="s">
        <v>2185</v>
      </c>
    </row>
    <row r="105" spans="1:11" ht="30" x14ac:dyDescent="0.25">
      <c r="A105" s="25">
        <v>104</v>
      </c>
      <c r="B105" s="25" t="s">
        <v>2384</v>
      </c>
      <c r="C105" s="25" t="s">
        <v>2313</v>
      </c>
      <c r="D105" s="25" t="s">
        <v>2378</v>
      </c>
      <c r="E105" s="44" t="s">
        <v>2379</v>
      </c>
      <c r="F105" s="48">
        <v>86</v>
      </c>
      <c r="G105" s="49">
        <v>85</v>
      </c>
      <c r="H105" s="49">
        <v>84</v>
      </c>
      <c r="I105" s="50">
        <f t="shared" si="3"/>
        <v>85</v>
      </c>
      <c r="J105" s="25" t="s">
        <v>2184</v>
      </c>
      <c r="K105" s="43" t="s">
        <v>2185</v>
      </c>
    </row>
    <row r="106" spans="1:11" ht="30" x14ac:dyDescent="0.25">
      <c r="A106" s="25">
        <v>105</v>
      </c>
      <c r="B106" s="25" t="s">
        <v>2385</v>
      </c>
      <c r="C106" s="25" t="s">
        <v>2386</v>
      </c>
      <c r="D106" s="25" t="s">
        <v>2267</v>
      </c>
      <c r="E106" s="44" t="s">
        <v>2334</v>
      </c>
      <c r="F106" s="48">
        <v>86</v>
      </c>
      <c r="G106" s="49">
        <v>85</v>
      </c>
      <c r="H106" s="49">
        <v>84</v>
      </c>
      <c r="I106" s="50">
        <f t="shared" si="3"/>
        <v>85</v>
      </c>
      <c r="J106" s="25" t="s">
        <v>2184</v>
      </c>
      <c r="K106" s="43" t="s">
        <v>2185</v>
      </c>
    </row>
    <row r="107" spans="1:11" ht="30" x14ac:dyDescent="0.25">
      <c r="A107" s="25">
        <v>106</v>
      </c>
      <c r="B107" s="25" t="s">
        <v>2387</v>
      </c>
      <c r="C107" s="25" t="s">
        <v>2370</v>
      </c>
      <c r="D107" s="25" t="s">
        <v>2267</v>
      </c>
      <c r="E107" s="44" t="s">
        <v>2334</v>
      </c>
      <c r="F107" s="48">
        <v>86</v>
      </c>
      <c r="G107" s="49">
        <v>85</v>
      </c>
      <c r="H107" s="49">
        <v>84</v>
      </c>
      <c r="I107" s="50">
        <f t="shared" si="3"/>
        <v>85</v>
      </c>
      <c r="J107" s="25" t="s">
        <v>2184</v>
      </c>
      <c r="K107" s="43" t="s">
        <v>2185</v>
      </c>
    </row>
    <row r="108" spans="1:11" ht="30" x14ac:dyDescent="0.25">
      <c r="A108" s="25">
        <v>107</v>
      </c>
      <c r="B108" s="25" t="s">
        <v>2388</v>
      </c>
      <c r="C108" s="25" t="s">
        <v>62</v>
      </c>
      <c r="D108" s="25" t="s">
        <v>2244</v>
      </c>
      <c r="E108" s="44" t="s">
        <v>2314</v>
      </c>
      <c r="F108" s="48">
        <v>86</v>
      </c>
      <c r="G108" s="49">
        <v>85</v>
      </c>
      <c r="H108" s="49">
        <v>84</v>
      </c>
      <c r="I108" s="50">
        <f t="shared" si="3"/>
        <v>85</v>
      </c>
      <c r="J108" s="25" t="s">
        <v>2184</v>
      </c>
      <c r="K108" s="43" t="s">
        <v>2185</v>
      </c>
    </row>
    <row r="109" spans="1:11" ht="30" x14ac:dyDescent="0.25">
      <c r="A109" s="25">
        <v>108</v>
      </c>
      <c r="B109" s="25" t="s">
        <v>2389</v>
      </c>
      <c r="C109" s="25" t="s">
        <v>18</v>
      </c>
      <c r="D109" s="25" t="s">
        <v>2244</v>
      </c>
      <c r="E109" s="44" t="s">
        <v>2314</v>
      </c>
      <c r="F109" s="48">
        <v>86</v>
      </c>
      <c r="G109" s="49">
        <v>85</v>
      </c>
      <c r="H109" s="49">
        <v>84</v>
      </c>
      <c r="I109" s="50">
        <f t="shared" si="3"/>
        <v>85</v>
      </c>
      <c r="J109" s="25" t="s">
        <v>2184</v>
      </c>
      <c r="K109" s="43" t="s">
        <v>2185</v>
      </c>
    </row>
    <row r="110" spans="1:11" ht="30" x14ac:dyDescent="0.25">
      <c r="A110" s="25">
        <v>109</v>
      </c>
      <c r="B110" s="25" t="s">
        <v>2054</v>
      </c>
      <c r="C110" s="25" t="s">
        <v>62</v>
      </c>
      <c r="D110" s="25" t="s">
        <v>2182</v>
      </c>
      <c r="E110" s="44" t="s">
        <v>2308</v>
      </c>
      <c r="F110" s="48">
        <v>86</v>
      </c>
      <c r="G110" s="49">
        <v>85</v>
      </c>
      <c r="H110" s="49">
        <v>84</v>
      </c>
      <c r="I110" s="50">
        <f t="shared" si="3"/>
        <v>85</v>
      </c>
      <c r="J110" s="25" t="s">
        <v>2184</v>
      </c>
      <c r="K110" s="43" t="s">
        <v>2185</v>
      </c>
    </row>
    <row r="111" spans="1:11" ht="30" x14ac:dyDescent="0.25">
      <c r="A111" s="25">
        <v>110</v>
      </c>
      <c r="B111" s="25" t="s">
        <v>2390</v>
      </c>
      <c r="C111" s="25" t="s">
        <v>96</v>
      </c>
      <c r="D111" s="25" t="s">
        <v>2337</v>
      </c>
      <c r="E111" s="44" t="s">
        <v>2338</v>
      </c>
      <c r="F111" s="48">
        <v>85</v>
      </c>
      <c r="G111" s="49">
        <v>84</v>
      </c>
      <c r="H111" s="49">
        <v>83</v>
      </c>
      <c r="I111" s="50">
        <f t="shared" si="3"/>
        <v>84</v>
      </c>
      <c r="J111" s="25" t="s">
        <v>2184</v>
      </c>
      <c r="K111" s="43" t="s">
        <v>2185</v>
      </c>
    </row>
    <row r="112" spans="1:11" ht="30" x14ac:dyDescent="0.25">
      <c r="A112" s="25">
        <v>111</v>
      </c>
      <c r="B112" s="25" t="s">
        <v>2391</v>
      </c>
      <c r="C112" s="25" t="s">
        <v>62</v>
      </c>
      <c r="D112" s="25" t="s">
        <v>2267</v>
      </c>
      <c r="E112" s="44" t="s">
        <v>2334</v>
      </c>
      <c r="F112" s="48">
        <v>85</v>
      </c>
      <c r="G112" s="49">
        <v>84</v>
      </c>
      <c r="H112" s="49">
        <v>83</v>
      </c>
      <c r="I112" s="50">
        <f t="shared" si="3"/>
        <v>84</v>
      </c>
      <c r="J112" s="25" t="s">
        <v>2184</v>
      </c>
      <c r="K112" s="43" t="s">
        <v>2185</v>
      </c>
    </row>
    <row r="113" spans="1:11" ht="30" x14ac:dyDescent="0.25">
      <c r="A113" s="25">
        <v>112</v>
      </c>
      <c r="B113" s="25" t="s">
        <v>150</v>
      </c>
      <c r="C113" s="25" t="s">
        <v>62</v>
      </c>
      <c r="D113" s="25" t="s">
        <v>2205</v>
      </c>
      <c r="E113" s="44" t="s">
        <v>2320</v>
      </c>
      <c r="F113" s="48">
        <v>85</v>
      </c>
      <c r="G113" s="49">
        <v>84</v>
      </c>
      <c r="H113" s="49">
        <v>83</v>
      </c>
      <c r="I113" s="50">
        <f t="shared" si="3"/>
        <v>84</v>
      </c>
      <c r="J113" s="25" t="s">
        <v>2184</v>
      </c>
      <c r="K113" s="43" t="s">
        <v>2185</v>
      </c>
    </row>
    <row r="114" spans="1:11" ht="30" x14ac:dyDescent="0.25">
      <c r="A114" s="25">
        <v>113</v>
      </c>
      <c r="B114" s="25" t="s">
        <v>2392</v>
      </c>
      <c r="C114" s="25" t="s">
        <v>96</v>
      </c>
      <c r="D114" s="25" t="s">
        <v>2393</v>
      </c>
      <c r="E114" s="44" t="s">
        <v>2394</v>
      </c>
      <c r="F114" s="48">
        <v>85</v>
      </c>
      <c r="G114" s="49">
        <v>84</v>
      </c>
      <c r="H114" s="49">
        <v>83</v>
      </c>
      <c r="I114" s="50">
        <f t="shared" si="3"/>
        <v>84</v>
      </c>
      <c r="J114" s="25" t="s">
        <v>2184</v>
      </c>
      <c r="K114" s="43" t="s">
        <v>2185</v>
      </c>
    </row>
    <row r="115" spans="1:11" ht="30" x14ac:dyDescent="0.25">
      <c r="A115" s="25">
        <v>114</v>
      </c>
      <c r="B115" s="25" t="s">
        <v>2395</v>
      </c>
      <c r="C115" s="25" t="s">
        <v>62</v>
      </c>
      <c r="D115" s="25" t="s">
        <v>2182</v>
      </c>
      <c r="E115" s="44" t="s">
        <v>2308</v>
      </c>
      <c r="F115" s="48">
        <v>85</v>
      </c>
      <c r="G115" s="49">
        <v>84</v>
      </c>
      <c r="H115" s="49">
        <v>83</v>
      </c>
      <c r="I115" s="50">
        <f t="shared" si="3"/>
        <v>84</v>
      </c>
      <c r="J115" s="25" t="s">
        <v>2184</v>
      </c>
      <c r="K115" s="43" t="s">
        <v>2185</v>
      </c>
    </row>
    <row r="116" spans="1:11" ht="30" x14ac:dyDescent="0.25">
      <c r="A116" s="25">
        <v>115</v>
      </c>
      <c r="B116" s="25" t="s">
        <v>2396</v>
      </c>
      <c r="C116" s="25" t="s">
        <v>18</v>
      </c>
      <c r="D116" s="25" t="s">
        <v>2328</v>
      </c>
      <c r="E116" s="44" t="s">
        <v>2329</v>
      </c>
      <c r="F116" s="48">
        <v>85</v>
      </c>
      <c r="G116" s="49">
        <v>84</v>
      </c>
      <c r="H116" s="49">
        <v>83</v>
      </c>
      <c r="I116" s="50">
        <f t="shared" si="3"/>
        <v>84</v>
      </c>
      <c r="J116" s="25" t="s">
        <v>2184</v>
      </c>
      <c r="K116" s="43" t="s">
        <v>2185</v>
      </c>
    </row>
    <row r="117" spans="1:11" ht="30" x14ac:dyDescent="0.25">
      <c r="A117" s="25">
        <v>116</v>
      </c>
      <c r="B117" s="25" t="s">
        <v>2397</v>
      </c>
      <c r="C117" s="25" t="s">
        <v>2313</v>
      </c>
      <c r="D117" s="25" t="s">
        <v>2244</v>
      </c>
      <c r="E117" s="44" t="s">
        <v>2314</v>
      </c>
      <c r="F117" s="48">
        <v>85</v>
      </c>
      <c r="G117" s="49">
        <v>84</v>
      </c>
      <c r="H117" s="49">
        <v>83</v>
      </c>
      <c r="I117" s="50">
        <f t="shared" si="3"/>
        <v>84</v>
      </c>
      <c r="J117" s="25" t="s">
        <v>2184</v>
      </c>
      <c r="K117" s="43" t="s">
        <v>2185</v>
      </c>
    </row>
    <row r="118" spans="1:11" ht="30" x14ac:dyDescent="0.25">
      <c r="A118" s="25">
        <v>117</v>
      </c>
      <c r="B118" s="25" t="s">
        <v>2398</v>
      </c>
      <c r="C118" s="25" t="s">
        <v>62</v>
      </c>
      <c r="D118" s="25" t="s">
        <v>2182</v>
      </c>
      <c r="E118" s="44" t="s">
        <v>2308</v>
      </c>
      <c r="F118" s="48">
        <v>85</v>
      </c>
      <c r="G118" s="49">
        <v>84</v>
      </c>
      <c r="H118" s="49">
        <v>83</v>
      </c>
      <c r="I118" s="50">
        <f t="shared" si="3"/>
        <v>84</v>
      </c>
      <c r="J118" s="25" t="s">
        <v>2184</v>
      </c>
      <c r="K118" s="43" t="s">
        <v>2185</v>
      </c>
    </row>
    <row r="119" spans="1:11" ht="30" x14ac:dyDescent="0.25">
      <c r="A119" s="25">
        <v>118</v>
      </c>
      <c r="B119" s="25" t="s">
        <v>331</v>
      </c>
      <c r="C119" s="25" t="s">
        <v>2370</v>
      </c>
      <c r="D119" s="25" t="s">
        <v>2182</v>
      </c>
      <c r="E119" s="44" t="s">
        <v>2308</v>
      </c>
      <c r="F119" s="48">
        <v>85</v>
      </c>
      <c r="G119" s="49">
        <v>84</v>
      </c>
      <c r="H119" s="49">
        <v>83</v>
      </c>
      <c r="I119" s="50">
        <f t="shared" si="3"/>
        <v>84</v>
      </c>
      <c r="J119" s="25" t="s">
        <v>2184</v>
      </c>
      <c r="K119" s="43" t="s">
        <v>2185</v>
      </c>
    </row>
    <row r="120" spans="1:11" ht="30" x14ac:dyDescent="0.25">
      <c r="A120" s="25">
        <v>119</v>
      </c>
      <c r="B120" s="25" t="s">
        <v>2399</v>
      </c>
      <c r="C120" s="25" t="s">
        <v>62</v>
      </c>
      <c r="D120" s="25" t="s">
        <v>2244</v>
      </c>
      <c r="E120" s="44" t="s">
        <v>2314</v>
      </c>
      <c r="F120" s="48">
        <v>85</v>
      </c>
      <c r="G120" s="49">
        <v>84</v>
      </c>
      <c r="H120" s="49">
        <v>83</v>
      </c>
      <c r="I120" s="50">
        <f t="shared" si="3"/>
        <v>84</v>
      </c>
      <c r="J120" s="25" t="s">
        <v>2184</v>
      </c>
      <c r="K120" s="43" t="s">
        <v>2185</v>
      </c>
    </row>
    <row r="121" spans="1:11" ht="30" x14ac:dyDescent="0.25">
      <c r="A121" s="25">
        <v>120</v>
      </c>
      <c r="B121" s="25" t="s">
        <v>1685</v>
      </c>
      <c r="C121" s="25" t="s">
        <v>180</v>
      </c>
      <c r="D121" s="25" t="s">
        <v>2244</v>
      </c>
      <c r="E121" s="44" t="s">
        <v>2314</v>
      </c>
      <c r="F121" s="48">
        <v>85</v>
      </c>
      <c r="G121" s="49">
        <v>84</v>
      </c>
      <c r="H121" s="49">
        <v>83</v>
      </c>
      <c r="I121" s="50">
        <f t="shared" si="3"/>
        <v>84</v>
      </c>
      <c r="J121" s="25" t="s">
        <v>2184</v>
      </c>
      <c r="K121" s="43" t="s">
        <v>2185</v>
      </c>
    </row>
    <row r="122" spans="1:11" ht="30" x14ac:dyDescent="0.25">
      <c r="A122" s="25">
        <v>121</v>
      </c>
      <c r="B122" s="25" t="s">
        <v>2400</v>
      </c>
      <c r="C122" s="25" t="s">
        <v>62</v>
      </c>
      <c r="D122" s="25" t="s">
        <v>2182</v>
      </c>
      <c r="E122" s="44" t="s">
        <v>2308</v>
      </c>
      <c r="F122" s="48">
        <v>85</v>
      </c>
      <c r="G122" s="49">
        <v>84</v>
      </c>
      <c r="H122" s="49">
        <v>83</v>
      </c>
      <c r="I122" s="50">
        <f t="shared" si="3"/>
        <v>84</v>
      </c>
      <c r="J122" s="25" t="s">
        <v>2184</v>
      </c>
      <c r="K122" s="43" t="s">
        <v>2185</v>
      </c>
    </row>
    <row r="123" spans="1:11" ht="30" x14ac:dyDescent="0.25">
      <c r="A123" s="25">
        <v>122</v>
      </c>
      <c r="B123" s="25" t="s">
        <v>2401</v>
      </c>
      <c r="C123" s="25" t="s">
        <v>2370</v>
      </c>
      <c r="D123" s="25" t="s">
        <v>2244</v>
      </c>
      <c r="E123" s="44" t="s">
        <v>2314</v>
      </c>
      <c r="F123" s="48">
        <v>85</v>
      </c>
      <c r="G123" s="49">
        <v>84</v>
      </c>
      <c r="H123" s="49">
        <v>83</v>
      </c>
      <c r="I123" s="50">
        <f t="shared" si="3"/>
        <v>84</v>
      </c>
      <c r="J123" s="25" t="s">
        <v>2184</v>
      </c>
      <c r="K123" s="43" t="s">
        <v>2185</v>
      </c>
    </row>
    <row r="124" spans="1:11" ht="30" x14ac:dyDescent="0.25">
      <c r="A124" s="25">
        <v>123</v>
      </c>
      <c r="B124" s="25" t="s">
        <v>2402</v>
      </c>
      <c r="C124" s="25" t="s">
        <v>96</v>
      </c>
      <c r="D124" s="25" t="s">
        <v>2244</v>
      </c>
      <c r="E124" s="44" t="s">
        <v>2314</v>
      </c>
      <c r="F124" s="48">
        <v>85</v>
      </c>
      <c r="G124" s="49">
        <v>84</v>
      </c>
      <c r="H124" s="49">
        <v>83</v>
      </c>
      <c r="I124" s="50">
        <f t="shared" si="3"/>
        <v>84</v>
      </c>
      <c r="J124" s="25" t="s">
        <v>2184</v>
      </c>
      <c r="K124" s="43" t="s">
        <v>2185</v>
      </c>
    </row>
    <row r="125" spans="1:11" ht="30" x14ac:dyDescent="0.25">
      <c r="A125" s="25">
        <v>124</v>
      </c>
      <c r="B125" s="25" t="s">
        <v>2403</v>
      </c>
      <c r="C125" s="25" t="s">
        <v>2313</v>
      </c>
      <c r="D125" s="25" t="s">
        <v>2182</v>
      </c>
      <c r="E125" s="44" t="s">
        <v>2308</v>
      </c>
      <c r="F125" s="48">
        <v>85</v>
      </c>
      <c r="G125" s="49">
        <v>84</v>
      </c>
      <c r="H125" s="49">
        <v>83</v>
      </c>
      <c r="I125" s="50">
        <f t="shared" si="3"/>
        <v>84</v>
      </c>
      <c r="J125" s="25" t="s">
        <v>2184</v>
      </c>
      <c r="K125" s="43" t="s">
        <v>2185</v>
      </c>
    </row>
    <row r="126" spans="1:11" ht="30" x14ac:dyDescent="0.25">
      <c r="A126" s="25">
        <v>125</v>
      </c>
      <c r="B126" s="25" t="s">
        <v>2404</v>
      </c>
      <c r="C126" s="25" t="s">
        <v>96</v>
      </c>
      <c r="D126" s="25" t="s">
        <v>2378</v>
      </c>
      <c r="E126" s="44" t="s">
        <v>2379</v>
      </c>
      <c r="F126" s="48">
        <v>85</v>
      </c>
      <c r="G126" s="49">
        <v>84</v>
      </c>
      <c r="H126" s="49">
        <v>83</v>
      </c>
      <c r="I126" s="50">
        <f t="shared" si="3"/>
        <v>84</v>
      </c>
      <c r="J126" s="25" t="s">
        <v>2184</v>
      </c>
      <c r="K126" s="43" t="s">
        <v>2185</v>
      </c>
    </row>
    <row r="127" spans="1:11" ht="30" x14ac:dyDescent="0.25">
      <c r="A127" s="25">
        <v>126</v>
      </c>
      <c r="B127" s="25" t="s">
        <v>2405</v>
      </c>
      <c r="C127" s="25" t="s">
        <v>96</v>
      </c>
      <c r="D127" s="25" t="s">
        <v>2328</v>
      </c>
      <c r="E127" s="44" t="s">
        <v>2329</v>
      </c>
      <c r="F127" s="48">
        <v>85</v>
      </c>
      <c r="G127" s="49">
        <v>84</v>
      </c>
      <c r="H127" s="49">
        <v>83</v>
      </c>
      <c r="I127" s="50">
        <f t="shared" si="3"/>
        <v>84</v>
      </c>
      <c r="J127" s="25" t="s">
        <v>2184</v>
      </c>
      <c r="K127" s="43" t="s">
        <v>2185</v>
      </c>
    </row>
    <row r="128" spans="1:11" ht="30" x14ac:dyDescent="0.25">
      <c r="A128" s="25">
        <v>127</v>
      </c>
      <c r="B128" s="25" t="s">
        <v>2406</v>
      </c>
      <c r="C128" s="25" t="s">
        <v>96</v>
      </c>
      <c r="D128" s="25" t="s">
        <v>2374</v>
      </c>
      <c r="E128" s="44" t="s">
        <v>2375</v>
      </c>
      <c r="F128" s="48">
        <v>85</v>
      </c>
      <c r="G128" s="49">
        <v>84</v>
      </c>
      <c r="H128" s="49">
        <v>83</v>
      </c>
      <c r="I128" s="50">
        <f t="shared" si="3"/>
        <v>84</v>
      </c>
      <c r="J128" s="25" t="s">
        <v>2184</v>
      </c>
      <c r="K128" s="43" t="s">
        <v>2185</v>
      </c>
    </row>
    <row r="129" spans="1:11" ht="30" x14ac:dyDescent="0.25">
      <c r="A129" s="25">
        <v>128</v>
      </c>
      <c r="B129" s="25" t="s">
        <v>995</v>
      </c>
      <c r="C129" s="25" t="s">
        <v>37</v>
      </c>
      <c r="D129" s="25" t="s">
        <v>2244</v>
      </c>
      <c r="E129" s="44" t="s">
        <v>2314</v>
      </c>
      <c r="F129" s="48">
        <v>85</v>
      </c>
      <c r="G129" s="49">
        <v>84</v>
      </c>
      <c r="H129" s="49">
        <v>83</v>
      </c>
      <c r="I129" s="50">
        <f t="shared" si="3"/>
        <v>84</v>
      </c>
      <c r="J129" s="25" t="s">
        <v>2184</v>
      </c>
      <c r="K129" s="43" t="s">
        <v>2185</v>
      </c>
    </row>
    <row r="130" spans="1:11" ht="30" x14ac:dyDescent="0.25">
      <c r="A130" s="25">
        <v>129</v>
      </c>
      <c r="B130" s="25" t="s">
        <v>2407</v>
      </c>
      <c r="C130" s="25" t="s">
        <v>62</v>
      </c>
      <c r="D130" s="25" t="s">
        <v>2182</v>
      </c>
      <c r="E130" s="44" t="s">
        <v>2308</v>
      </c>
      <c r="F130" s="48">
        <v>85</v>
      </c>
      <c r="G130" s="49">
        <v>84</v>
      </c>
      <c r="H130" s="49">
        <v>83</v>
      </c>
      <c r="I130" s="50">
        <f t="shared" ref="I130:I161" si="4">ROUND(F130*0.55+G130*0.3+H130*0.15,0)</f>
        <v>84</v>
      </c>
      <c r="J130" s="25" t="s">
        <v>2184</v>
      </c>
      <c r="K130" s="43" t="s">
        <v>2185</v>
      </c>
    </row>
    <row r="131" spans="1:11" ht="30" x14ac:dyDescent="0.25">
      <c r="A131" s="25">
        <v>130</v>
      </c>
      <c r="B131" s="25" t="s">
        <v>2408</v>
      </c>
      <c r="C131" s="25" t="s">
        <v>18</v>
      </c>
      <c r="D131" s="25" t="s">
        <v>2267</v>
      </c>
      <c r="E131" s="44" t="s">
        <v>2334</v>
      </c>
      <c r="F131" s="48">
        <v>85</v>
      </c>
      <c r="G131" s="49">
        <v>84</v>
      </c>
      <c r="H131" s="49">
        <v>83</v>
      </c>
      <c r="I131" s="50">
        <f t="shared" si="4"/>
        <v>84</v>
      </c>
      <c r="J131" s="25" t="s">
        <v>2184</v>
      </c>
      <c r="K131" s="43" t="s">
        <v>2185</v>
      </c>
    </row>
    <row r="132" spans="1:11" ht="30" x14ac:dyDescent="0.25">
      <c r="A132" s="25">
        <v>131</v>
      </c>
      <c r="B132" s="25" t="s">
        <v>2409</v>
      </c>
      <c r="C132" s="25" t="s">
        <v>2313</v>
      </c>
      <c r="D132" s="25" t="s">
        <v>2337</v>
      </c>
      <c r="E132" s="44" t="s">
        <v>2338</v>
      </c>
      <c r="F132" s="48">
        <v>84</v>
      </c>
      <c r="G132" s="49">
        <v>83</v>
      </c>
      <c r="H132" s="49">
        <v>82</v>
      </c>
      <c r="I132" s="50">
        <f t="shared" si="4"/>
        <v>83</v>
      </c>
      <c r="J132" s="25" t="s">
        <v>2184</v>
      </c>
      <c r="K132" s="43" t="s">
        <v>2185</v>
      </c>
    </row>
    <row r="133" spans="1:11" ht="30" x14ac:dyDescent="0.25">
      <c r="A133" s="25">
        <v>132</v>
      </c>
      <c r="B133" s="25" t="s">
        <v>2410</v>
      </c>
      <c r="C133" s="25" t="s">
        <v>2370</v>
      </c>
      <c r="D133" s="25" t="s">
        <v>2182</v>
      </c>
      <c r="E133" s="44" t="s">
        <v>2308</v>
      </c>
      <c r="F133" s="48">
        <v>84</v>
      </c>
      <c r="G133" s="49">
        <v>83</v>
      </c>
      <c r="H133" s="49">
        <v>82</v>
      </c>
      <c r="I133" s="50">
        <f t="shared" si="4"/>
        <v>83</v>
      </c>
      <c r="J133" s="25" t="s">
        <v>2184</v>
      </c>
      <c r="K133" s="43" t="s">
        <v>2185</v>
      </c>
    </row>
    <row r="134" spans="1:11" ht="30" x14ac:dyDescent="0.25">
      <c r="A134" s="25">
        <v>133</v>
      </c>
      <c r="B134" s="25" t="s">
        <v>2411</v>
      </c>
      <c r="C134" s="25" t="s">
        <v>2313</v>
      </c>
      <c r="D134" s="25" t="s">
        <v>2328</v>
      </c>
      <c r="E134" s="44" t="s">
        <v>2329</v>
      </c>
      <c r="F134" s="48">
        <v>84</v>
      </c>
      <c r="G134" s="49">
        <v>83</v>
      </c>
      <c r="H134" s="49">
        <v>82</v>
      </c>
      <c r="I134" s="50">
        <f t="shared" si="4"/>
        <v>83</v>
      </c>
      <c r="J134" s="25" t="s">
        <v>2184</v>
      </c>
      <c r="K134" s="43" t="s">
        <v>2185</v>
      </c>
    </row>
    <row r="135" spans="1:11" ht="30" x14ac:dyDescent="0.25">
      <c r="A135" s="25">
        <v>134</v>
      </c>
      <c r="B135" s="25" t="s">
        <v>2412</v>
      </c>
      <c r="C135" s="25" t="s">
        <v>180</v>
      </c>
      <c r="D135" s="25" t="s">
        <v>2337</v>
      </c>
      <c r="E135" s="44" t="s">
        <v>2338</v>
      </c>
      <c r="F135" s="48">
        <v>84</v>
      </c>
      <c r="G135" s="49">
        <v>83</v>
      </c>
      <c r="H135" s="49">
        <v>82</v>
      </c>
      <c r="I135" s="50">
        <f t="shared" si="4"/>
        <v>83</v>
      </c>
      <c r="J135" s="25" t="s">
        <v>2184</v>
      </c>
      <c r="K135" s="43" t="s">
        <v>2185</v>
      </c>
    </row>
    <row r="136" spans="1:11" ht="30" x14ac:dyDescent="0.25">
      <c r="A136" s="25">
        <v>135</v>
      </c>
      <c r="B136" s="25" t="s">
        <v>2413</v>
      </c>
      <c r="C136" s="25" t="s">
        <v>18</v>
      </c>
      <c r="D136" s="25" t="s">
        <v>2337</v>
      </c>
      <c r="E136" s="44" t="s">
        <v>2338</v>
      </c>
      <c r="F136" s="48">
        <v>84</v>
      </c>
      <c r="G136" s="49">
        <v>83</v>
      </c>
      <c r="H136" s="49">
        <v>82</v>
      </c>
      <c r="I136" s="50">
        <f t="shared" si="4"/>
        <v>83</v>
      </c>
      <c r="J136" s="25" t="s">
        <v>2184</v>
      </c>
      <c r="K136" s="43" t="s">
        <v>2185</v>
      </c>
    </row>
    <row r="137" spans="1:11" ht="30" x14ac:dyDescent="0.25">
      <c r="A137" s="25">
        <v>136</v>
      </c>
      <c r="B137" s="25" t="s">
        <v>2414</v>
      </c>
      <c r="C137" s="25" t="s">
        <v>62</v>
      </c>
      <c r="D137" s="25" t="s">
        <v>2182</v>
      </c>
      <c r="E137" s="44" t="s">
        <v>2308</v>
      </c>
      <c r="F137" s="48">
        <v>84</v>
      </c>
      <c r="G137" s="49">
        <v>83</v>
      </c>
      <c r="H137" s="49">
        <v>82</v>
      </c>
      <c r="I137" s="50">
        <f t="shared" si="4"/>
        <v>83</v>
      </c>
      <c r="J137" s="25" t="s">
        <v>2184</v>
      </c>
      <c r="K137" s="43" t="s">
        <v>2185</v>
      </c>
    </row>
    <row r="138" spans="1:11" ht="30" x14ac:dyDescent="0.25">
      <c r="A138" s="25">
        <v>137</v>
      </c>
      <c r="B138" s="25" t="s">
        <v>2415</v>
      </c>
      <c r="C138" s="25" t="s">
        <v>37</v>
      </c>
      <c r="D138" s="25" t="s">
        <v>2244</v>
      </c>
      <c r="E138" s="44" t="s">
        <v>2314</v>
      </c>
      <c r="F138" s="48">
        <v>84</v>
      </c>
      <c r="G138" s="49">
        <v>83</v>
      </c>
      <c r="H138" s="49">
        <v>82</v>
      </c>
      <c r="I138" s="50">
        <f t="shared" si="4"/>
        <v>83</v>
      </c>
      <c r="J138" s="25" t="s">
        <v>2184</v>
      </c>
      <c r="K138" s="43" t="s">
        <v>2185</v>
      </c>
    </row>
    <row r="139" spans="1:11" ht="30" x14ac:dyDescent="0.25">
      <c r="A139" s="25">
        <v>138</v>
      </c>
      <c r="B139" s="25" t="s">
        <v>2416</v>
      </c>
      <c r="C139" s="25" t="s">
        <v>62</v>
      </c>
      <c r="D139" s="25" t="s">
        <v>2182</v>
      </c>
      <c r="E139" s="44" t="s">
        <v>2308</v>
      </c>
      <c r="F139" s="48">
        <v>84</v>
      </c>
      <c r="G139" s="49">
        <v>83</v>
      </c>
      <c r="H139" s="49">
        <v>82</v>
      </c>
      <c r="I139" s="50">
        <f t="shared" si="4"/>
        <v>83</v>
      </c>
      <c r="J139" s="25" t="s">
        <v>2184</v>
      </c>
      <c r="K139" s="43" t="s">
        <v>2185</v>
      </c>
    </row>
    <row r="140" spans="1:11" ht="30" x14ac:dyDescent="0.25">
      <c r="A140" s="25">
        <v>139</v>
      </c>
      <c r="B140" s="25" t="s">
        <v>2417</v>
      </c>
      <c r="C140" s="25" t="s">
        <v>62</v>
      </c>
      <c r="D140" s="25" t="s">
        <v>2328</v>
      </c>
      <c r="E140" s="44" t="s">
        <v>2329</v>
      </c>
      <c r="F140" s="48">
        <v>84</v>
      </c>
      <c r="G140" s="49">
        <v>83</v>
      </c>
      <c r="H140" s="49">
        <v>82</v>
      </c>
      <c r="I140" s="50">
        <f t="shared" si="4"/>
        <v>83</v>
      </c>
      <c r="J140" s="25" t="s">
        <v>2184</v>
      </c>
      <c r="K140" s="43" t="s">
        <v>2185</v>
      </c>
    </row>
    <row r="141" spans="1:11" ht="30" x14ac:dyDescent="0.25">
      <c r="A141" s="25">
        <v>140</v>
      </c>
      <c r="B141" s="25" t="s">
        <v>2418</v>
      </c>
      <c r="C141" s="25" t="s">
        <v>62</v>
      </c>
      <c r="D141" s="25" t="s">
        <v>2337</v>
      </c>
      <c r="E141" s="44" t="s">
        <v>2338</v>
      </c>
      <c r="F141" s="48">
        <v>84</v>
      </c>
      <c r="G141" s="49">
        <v>83</v>
      </c>
      <c r="H141" s="49">
        <v>82</v>
      </c>
      <c r="I141" s="50">
        <f t="shared" si="4"/>
        <v>83</v>
      </c>
      <c r="J141" s="25" t="s">
        <v>2184</v>
      </c>
      <c r="K141" s="43" t="s">
        <v>2185</v>
      </c>
    </row>
    <row r="142" spans="1:11" ht="30" x14ac:dyDescent="0.25">
      <c r="A142" s="25">
        <v>141</v>
      </c>
      <c r="B142" s="25" t="s">
        <v>2419</v>
      </c>
      <c r="C142" s="25" t="s">
        <v>96</v>
      </c>
      <c r="D142" s="25" t="s">
        <v>2337</v>
      </c>
      <c r="E142" s="44" t="s">
        <v>2338</v>
      </c>
      <c r="F142" s="48">
        <v>84</v>
      </c>
      <c r="G142" s="49">
        <v>83</v>
      </c>
      <c r="H142" s="49">
        <v>82</v>
      </c>
      <c r="I142" s="50">
        <f t="shared" si="4"/>
        <v>83</v>
      </c>
      <c r="J142" s="25" t="s">
        <v>2184</v>
      </c>
      <c r="K142" s="43" t="s">
        <v>2185</v>
      </c>
    </row>
    <row r="143" spans="1:11" ht="30" x14ac:dyDescent="0.25">
      <c r="A143" s="25">
        <v>142</v>
      </c>
      <c r="B143" s="25" t="s">
        <v>2420</v>
      </c>
      <c r="C143" s="25" t="s">
        <v>96</v>
      </c>
      <c r="D143" s="25" t="s">
        <v>2342</v>
      </c>
      <c r="E143" s="44" t="s">
        <v>2343</v>
      </c>
      <c r="F143" s="48">
        <v>84</v>
      </c>
      <c r="G143" s="49">
        <v>83</v>
      </c>
      <c r="H143" s="49">
        <v>82</v>
      </c>
      <c r="I143" s="50">
        <f t="shared" si="4"/>
        <v>83</v>
      </c>
      <c r="J143" s="25" t="s">
        <v>2184</v>
      </c>
      <c r="K143" s="43" t="s">
        <v>2185</v>
      </c>
    </row>
    <row r="144" spans="1:11" ht="30" x14ac:dyDescent="0.25">
      <c r="A144" s="25">
        <v>143</v>
      </c>
      <c r="B144" s="25" t="s">
        <v>2421</v>
      </c>
      <c r="C144" s="25" t="s">
        <v>96</v>
      </c>
      <c r="D144" s="25" t="s">
        <v>2267</v>
      </c>
      <c r="E144" s="44" t="s">
        <v>2334</v>
      </c>
      <c r="F144" s="48">
        <v>84</v>
      </c>
      <c r="G144" s="49">
        <v>83</v>
      </c>
      <c r="H144" s="49">
        <v>82</v>
      </c>
      <c r="I144" s="50">
        <f t="shared" si="4"/>
        <v>83</v>
      </c>
      <c r="J144" s="25" t="s">
        <v>2184</v>
      </c>
      <c r="K144" s="43" t="s">
        <v>2185</v>
      </c>
    </row>
    <row r="145" spans="1:11" ht="30" x14ac:dyDescent="0.25">
      <c r="A145" s="25">
        <v>144</v>
      </c>
      <c r="B145" s="25" t="s">
        <v>2422</v>
      </c>
      <c r="C145" s="25" t="s">
        <v>2313</v>
      </c>
      <c r="D145" s="25" t="s">
        <v>2244</v>
      </c>
      <c r="E145" s="44" t="s">
        <v>2314</v>
      </c>
      <c r="F145" s="48">
        <v>84</v>
      </c>
      <c r="G145" s="49">
        <v>83</v>
      </c>
      <c r="H145" s="49">
        <v>82</v>
      </c>
      <c r="I145" s="50">
        <f t="shared" si="4"/>
        <v>83</v>
      </c>
      <c r="J145" s="25" t="s">
        <v>2184</v>
      </c>
      <c r="K145" s="43" t="s">
        <v>2185</v>
      </c>
    </row>
    <row r="146" spans="1:11" ht="30" x14ac:dyDescent="0.25">
      <c r="A146" s="25">
        <v>145</v>
      </c>
      <c r="B146" s="25" t="s">
        <v>2423</v>
      </c>
      <c r="C146" s="25" t="s">
        <v>18</v>
      </c>
      <c r="D146" s="25" t="s">
        <v>2284</v>
      </c>
      <c r="E146" s="44" t="s">
        <v>2383</v>
      </c>
      <c r="F146" s="48">
        <v>84</v>
      </c>
      <c r="G146" s="49">
        <v>83</v>
      </c>
      <c r="H146" s="49">
        <v>82</v>
      </c>
      <c r="I146" s="50">
        <f t="shared" si="4"/>
        <v>83</v>
      </c>
      <c r="J146" s="25" t="s">
        <v>2184</v>
      </c>
      <c r="K146" s="43" t="s">
        <v>2185</v>
      </c>
    </row>
    <row r="147" spans="1:11" ht="30" x14ac:dyDescent="0.25">
      <c r="A147" s="25">
        <v>146</v>
      </c>
      <c r="B147" s="25" t="s">
        <v>2424</v>
      </c>
      <c r="C147" s="25" t="s">
        <v>741</v>
      </c>
      <c r="D147" s="25" t="s">
        <v>2284</v>
      </c>
      <c r="E147" s="44" t="s">
        <v>2383</v>
      </c>
      <c r="F147" s="48">
        <v>84</v>
      </c>
      <c r="G147" s="49">
        <v>83</v>
      </c>
      <c r="H147" s="49">
        <v>82</v>
      </c>
      <c r="I147" s="50">
        <f t="shared" si="4"/>
        <v>83</v>
      </c>
      <c r="J147" s="25" t="s">
        <v>2184</v>
      </c>
      <c r="K147" s="43" t="s">
        <v>2185</v>
      </c>
    </row>
    <row r="148" spans="1:11" ht="30" x14ac:dyDescent="0.25">
      <c r="A148" s="25">
        <v>147</v>
      </c>
      <c r="B148" s="25" t="s">
        <v>2425</v>
      </c>
      <c r="C148" s="25" t="s">
        <v>37</v>
      </c>
      <c r="D148" s="25" t="s">
        <v>2378</v>
      </c>
      <c r="E148" s="44" t="s">
        <v>2379</v>
      </c>
      <c r="F148" s="48">
        <v>84</v>
      </c>
      <c r="G148" s="49">
        <v>83</v>
      </c>
      <c r="H148" s="49">
        <v>82</v>
      </c>
      <c r="I148" s="50">
        <f t="shared" si="4"/>
        <v>83</v>
      </c>
      <c r="J148" s="25" t="s">
        <v>2184</v>
      </c>
      <c r="K148" s="43" t="s">
        <v>2185</v>
      </c>
    </row>
    <row r="149" spans="1:11" ht="30" x14ac:dyDescent="0.25">
      <c r="A149" s="25">
        <v>148</v>
      </c>
      <c r="B149" s="25" t="s">
        <v>2426</v>
      </c>
      <c r="C149" s="25" t="s">
        <v>113</v>
      </c>
      <c r="D149" s="25" t="s">
        <v>2182</v>
      </c>
      <c r="E149" s="44" t="s">
        <v>2308</v>
      </c>
      <c r="F149" s="48">
        <v>84</v>
      </c>
      <c r="G149" s="49">
        <v>83</v>
      </c>
      <c r="H149" s="49">
        <v>82</v>
      </c>
      <c r="I149" s="50">
        <f t="shared" si="4"/>
        <v>83</v>
      </c>
      <c r="J149" s="25" t="s">
        <v>2184</v>
      </c>
      <c r="K149" s="43" t="s">
        <v>2185</v>
      </c>
    </row>
    <row r="150" spans="1:11" ht="30" x14ac:dyDescent="0.25">
      <c r="A150" s="25">
        <v>149</v>
      </c>
      <c r="B150" s="25" t="s">
        <v>2427</v>
      </c>
      <c r="C150" s="25" t="s">
        <v>62</v>
      </c>
      <c r="D150" s="25" t="s">
        <v>2182</v>
      </c>
      <c r="E150" s="44" t="s">
        <v>2308</v>
      </c>
      <c r="F150" s="48">
        <v>84</v>
      </c>
      <c r="G150" s="49">
        <v>83</v>
      </c>
      <c r="H150" s="49">
        <v>82</v>
      </c>
      <c r="I150" s="50">
        <f t="shared" si="4"/>
        <v>83</v>
      </c>
      <c r="J150" s="25" t="s">
        <v>2184</v>
      </c>
      <c r="K150" s="43" t="s">
        <v>2185</v>
      </c>
    </row>
    <row r="151" spans="1:11" ht="30" x14ac:dyDescent="0.25">
      <c r="A151" s="25">
        <v>150</v>
      </c>
      <c r="B151" s="25" t="s">
        <v>2428</v>
      </c>
      <c r="C151" s="25" t="s">
        <v>62</v>
      </c>
      <c r="D151" s="25" t="s">
        <v>2182</v>
      </c>
      <c r="E151" s="44" t="s">
        <v>2308</v>
      </c>
      <c r="F151" s="48">
        <v>84</v>
      </c>
      <c r="G151" s="49">
        <v>83</v>
      </c>
      <c r="H151" s="49">
        <v>82</v>
      </c>
      <c r="I151" s="50">
        <f t="shared" si="4"/>
        <v>83</v>
      </c>
      <c r="J151" s="25" t="s">
        <v>2184</v>
      </c>
      <c r="K151" s="43" t="s">
        <v>2185</v>
      </c>
    </row>
    <row r="152" spans="1:11" ht="30" x14ac:dyDescent="0.25">
      <c r="A152" s="25">
        <v>151</v>
      </c>
      <c r="B152" s="25" t="s">
        <v>2429</v>
      </c>
      <c r="C152" s="25" t="s">
        <v>18</v>
      </c>
      <c r="D152" s="25" t="s">
        <v>2378</v>
      </c>
      <c r="E152" s="44" t="s">
        <v>2379</v>
      </c>
      <c r="F152" s="48">
        <v>84</v>
      </c>
      <c r="G152" s="49">
        <v>83</v>
      </c>
      <c r="H152" s="49">
        <v>82</v>
      </c>
      <c r="I152" s="50">
        <f t="shared" si="4"/>
        <v>83</v>
      </c>
      <c r="J152" s="25" t="s">
        <v>2184</v>
      </c>
      <c r="K152" s="43" t="s">
        <v>2185</v>
      </c>
    </row>
    <row r="153" spans="1:11" ht="30" x14ac:dyDescent="0.25">
      <c r="A153" s="25">
        <v>152</v>
      </c>
      <c r="B153" s="25" t="s">
        <v>2430</v>
      </c>
      <c r="C153" s="25" t="s">
        <v>37</v>
      </c>
      <c r="D153" s="25" t="s">
        <v>2267</v>
      </c>
      <c r="E153" s="44" t="s">
        <v>2334</v>
      </c>
      <c r="F153" s="48">
        <v>84</v>
      </c>
      <c r="G153" s="49">
        <v>83</v>
      </c>
      <c r="H153" s="49">
        <v>82</v>
      </c>
      <c r="I153" s="50">
        <f t="shared" si="4"/>
        <v>83</v>
      </c>
      <c r="J153" s="25" t="s">
        <v>2184</v>
      </c>
      <c r="K153" s="43" t="s">
        <v>2185</v>
      </c>
    </row>
    <row r="154" spans="1:11" ht="30" x14ac:dyDescent="0.25">
      <c r="A154" s="25">
        <v>153</v>
      </c>
      <c r="B154" s="25" t="s">
        <v>2431</v>
      </c>
      <c r="C154" s="25" t="s">
        <v>2313</v>
      </c>
      <c r="D154" s="25" t="s">
        <v>2378</v>
      </c>
      <c r="E154" s="44" t="s">
        <v>2379</v>
      </c>
      <c r="F154" s="48">
        <v>84</v>
      </c>
      <c r="G154" s="49">
        <v>83</v>
      </c>
      <c r="H154" s="49">
        <v>82</v>
      </c>
      <c r="I154" s="50">
        <f t="shared" si="4"/>
        <v>83</v>
      </c>
      <c r="J154" s="25" t="s">
        <v>2184</v>
      </c>
      <c r="K154" s="43" t="s">
        <v>2185</v>
      </c>
    </row>
    <row r="155" spans="1:11" ht="30" x14ac:dyDescent="0.25">
      <c r="A155" s="25">
        <v>154</v>
      </c>
      <c r="B155" s="25" t="s">
        <v>2432</v>
      </c>
      <c r="C155" s="25" t="s">
        <v>37</v>
      </c>
      <c r="D155" s="25" t="s">
        <v>2267</v>
      </c>
      <c r="E155" s="44" t="s">
        <v>2334</v>
      </c>
      <c r="F155" s="48">
        <v>84</v>
      </c>
      <c r="G155" s="49">
        <v>83</v>
      </c>
      <c r="H155" s="49">
        <v>82</v>
      </c>
      <c r="I155" s="50">
        <f t="shared" si="4"/>
        <v>83</v>
      </c>
      <c r="J155" s="25" t="s">
        <v>2184</v>
      </c>
      <c r="K155" s="43" t="s">
        <v>2185</v>
      </c>
    </row>
    <row r="156" spans="1:11" ht="30" x14ac:dyDescent="0.25">
      <c r="A156" s="25">
        <v>155</v>
      </c>
      <c r="B156" s="25" t="s">
        <v>2433</v>
      </c>
      <c r="C156" s="25" t="s">
        <v>225</v>
      </c>
      <c r="D156" s="25" t="s">
        <v>2182</v>
      </c>
      <c r="E156" s="44" t="s">
        <v>2308</v>
      </c>
      <c r="F156" s="48">
        <v>84</v>
      </c>
      <c r="G156" s="49">
        <v>83</v>
      </c>
      <c r="H156" s="49">
        <v>82</v>
      </c>
      <c r="I156" s="50">
        <f t="shared" si="4"/>
        <v>83</v>
      </c>
      <c r="J156" s="25" t="s">
        <v>2184</v>
      </c>
      <c r="K156" s="43" t="s">
        <v>2185</v>
      </c>
    </row>
    <row r="157" spans="1:11" ht="30" x14ac:dyDescent="0.25">
      <c r="A157" s="25">
        <v>156</v>
      </c>
      <c r="B157" s="25" t="s">
        <v>2434</v>
      </c>
      <c r="C157" s="25" t="s">
        <v>96</v>
      </c>
      <c r="D157" s="25" t="s">
        <v>2435</v>
      </c>
      <c r="E157" s="44" t="s">
        <v>2436</v>
      </c>
      <c r="F157" s="48">
        <v>84</v>
      </c>
      <c r="G157" s="49">
        <v>83</v>
      </c>
      <c r="H157" s="49">
        <v>82</v>
      </c>
      <c r="I157" s="50">
        <f t="shared" si="4"/>
        <v>83</v>
      </c>
      <c r="J157" s="25" t="s">
        <v>2184</v>
      </c>
      <c r="K157" s="43" t="s">
        <v>2185</v>
      </c>
    </row>
    <row r="158" spans="1:11" ht="30" x14ac:dyDescent="0.25">
      <c r="A158" s="25">
        <v>157</v>
      </c>
      <c r="B158" s="25" t="s">
        <v>2437</v>
      </c>
      <c r="C158" s="25" t="s">
        <v>2313</v>
      </c>
      <c r="D158" s="25" t="s">
        <v>2322</v>
      </c>
      <c r="E158" s="44" t="s">
        <v>2323</v>
      </c>
      <c r="F158" s="48">
        <v>83</v>
      </c>
      <c r="G158" s="49">
        <v>82</v>
      </c>
      <c r="H158" s="49">
        <v>81</v>
      </c>
      <c r="I158" s="50">
        <f t="shared" si="4"/>
        <v>82</v>
      </c>
      <c r="J158" s="25" t="s">
        <v>2184</v>
      </c>
      <c r="K158" s="43" t="s">
        <v>2185</v>
      </c>
    </row>
    <row r="159" spans="1:11" ht="30" x14ac:dyDescent="0.25">
      <c r="A159" s="25">
        <v>158</v>
      </c>
      <c r="B159" s="25" t="s">
        <v>2438</v>
      </c>
      <c r="C159" s="25" t="s">
        <v>62</v>
      </c>
      <c r="D159" s="25" t="s">
        <v>2322</v>
      </c>
      <c r="E159" s="44" t="s">
        <v>2323</v>
      </c>
      <c r="F159" s="48">
        <v>83</v>
      </c>
      <c r="G159" s="49">
        <v>82</v>
      </c>
      <c r="H159" s="49">
        <v>81</v>
      </c>
      <c r="I159" s="50">
        <f t="shared" si="4"/>
        <v>82</v>
      </c>
      <c r="J159" s="25" t="s">
        <v>2184</v>
      </c>
      <c r="K159" s="43" t="s">
        <v>2185</v>
      </c>
    </row>
    <row r="160" spans="1:11" ht="30" x14ac:dyDescent="0.25">
      <c r="A160" s="25">
        <v>159</v>
      </c>
      <c r="B160" s="25" t="s">
        <v>2439</v>
      </c>
      <c r="C160" s="25" t="s">
        <v>37</v>
      </c>
      <c r="D160" s="25" t="s">
        <v>2182</v>
      </c>
      <c r="E160" s="44" t="s">
        <v>2308</v>
      </c>
      <c r="F160" s="48">
        <v>83</v>
      </c>
      <c r="G160" s="49">
        <v>82</v>
      </c>
      <c r="H160" s="49">
        <v>81</v>
      </c>
      <c r="I160" s="50">
        <f t="shared" si="4"/>
        <v>82</v>
      </c>
      <c r="J160" s="25" t="s">
        <v>2184</v>
      </c>
      <c r="K160" s="43" t="s">
        <v>2185</v>
      </c>
    </row>
    <row r="161" spans="1:11" ht="30" x14ac:dyDescent="0.25">
      <c r="A161" s="25">
        <v>160</v>
      </c>
      <c r="B161" s="25" t="s">
        <v>2440</v>
      </c>
      <c r="C161" s="25" t="s">
        <v>18</v>
      </c>
      <c r="D161" s="25" t="s">
        <v>2328</v>
      </c>
      <c r="E161" s="44" t="s">
        <v>2329</v>
      </c>
      <c r="F161" s="48">
        <v>83</v>
      </c>
      <c r="G161" s="49">
        <v>82</v>
      </c>
      <c r="H161" s="49">
        <v>81</v>
      </c>
      <c r="I161" s="50">
        <f t="shared" si="4"/>
        <v>82</v>
      </c>
      <c r="J161" s="25" t="s">
        <v>2184</v>
      </c>
      <c r="K161" s="43" t="s">
        <v>2185</v>
      </c>
    </row>
    <row r="162" spans="1:11" ht="30" x14ac:dyDescent="0.25">
      <c r="A162" s="25">
        <v>161</v>
      </c>
      <c r="B162" s="25" t="s">
        <v>2441</v>
      </c>
      <c r="C162" s="25" t="s">
        <v>62</v>
      </c>
      <c r="D162" s="25" t="s">
        <v>2242</v>
      </c>
      <c r="E162" s="44" t="s">
        <v>2348</v>
      </c>
      <c r="F162" s="48">
        <v>83</v>
      </c>
      <c r="G162" s="49">
        <v>82</v>
      </c>
      <c r="H162" s="49">
        <v>81</v>
      </c>
      <c r="I162" s="50">
        <f t="shared" ref="I162:I193" si="5">ROUND(F162*0.55+G162*0.3+H162*0.15,0)</f>
        <v>82</v>
      </c>
      <c r="J162" s="25" t="s">
        <v>2184</v>
      </c>
      <c r="K162" s="43" t="s">
        <v>2185</v>
      </c>
    </row>
    <row r="163" spans="1:11" ht="30" x14ac:dyDescent="0.25">
      <c r="A163" s="25">
        <v>162</v>
      </c>
      <c r="B163" s="25" t="s">
        <v>2442</v>
      </c>
      <c r="C163" s="25" t="s">
        <v>96</v>
      </c>
      <c r="D163" s="25" t="s">
        <v>2242</v>
      </c>
      <c r="E163" s="44" t="s">
        <v>2348</v>
      </c>
      <c r="F163" s="48">
        <v>83</v>
      </c>
      <c r="G163" s="49">
        <v>82</v>
      </c>
      <c r="H163" s="49">
        <v>81</v>
      </c>
      <c r="I163" s="50">
        <f t="shared" si="5"/>
        <v>82</v>
      </c>
      <c r="J163" s="25" t="s">
        <v>2184</v>
      </c>
      <c r="K163" s="43" t="s">
        <v>2185</v>
      </c>
    </row>
    <row r="164" spans="1:11" ht="30" x14ac:dyDescent="0.25">
      <c r="A164" s="25">
        <v>163</v>
      </c>
      <c r="B164" s="25" t="s">
        <v>2443</v>
      </c>
      <c r="C164" s="25" t="s">
        <v>2313</v>
      </c>
      <c r="D164" s="25" t="s">
        <v>2328</v>
      </c>
      <c r="E164" s="44" t="s">
        <v>2329</v>
      </c>
      <c r="F164" s="48">
        <v>83</v>
      </c>
      <c r="G164" s="49">
        <v>82</v>
      </c>
      <c r="H164" s="49">
        <v>81</v>
      </c>
      <c r="I164" s="50">
        <f t="shared" si="5"/>
        <v>82</v>
      </c>
      <c r="J164" s="25" t="s">
        <v>2184</v>
      </c>
      <c r="K164" s="43" t="s">
        <v>2185</v>
      </c>
    </row>
    <row r="165" spans="1:11" ht="30" x14ac:dyDescent="0.25">
      <c r="A165" s="25">
        <v>164</v>
      </c>
      <c r="B165" s="25" t="s">
        <v>2444</v>
      </c>
      <c r="C165" s="25" t="s">
        <v>18</v>
      </c>
      <c r="D165" s="25" t="s">
        <v>2182</v>
      </c>
      <c r="E165" s="44" t="s">
        <v>2308</v>
      </c>
      <c r="F165" s="48">
        <v>83</v>
      </c>
      <c r="G165" s="49">
        <v>82</v>
      </c>
      <c r="H165" s="49">
        <v>81</v>
      </c>
      <c r="I165" s="50">
        <f t="shared" si="5"/>
        <v>82</v>
      </c>
      <c r="J165" s="25" t="s">
        <v>2184</v>
      </c>
      <c r="K165" s="43" t="s">
        <v>2185</v>
      </c>
    </row>
    <row r="166" spans="1:11" ht="30" x14ac:dyDescent="0.25">
      <c r="A166" s="25">
        <v>165</v>
      </c>
      <c r="B166" s="25" t="s">
        <v>2445</v>
      </c>
      <c r="C166" s="25" t="s">
        <v>180</v>
      </c>
      <c r="D166" s="25" t="s">
        <v>2244</v>
      </c>
      <c r="E166" s="44" t="s">
        <v>2314</v>
      </c>
      <c r="F166" s="48">
        <v>83</v>
      </c>
      <c r="G166" s="49">
        <v>82</v>
      </c>
      <c r="H166" s="49">
        <v>81</v>
      </c>
      <c r="I166" s="50">
        <f t="shared" si="5"/>
        <v>82</v>
      </c>
      <c r="J166" s="25" t="s">
        <v>2184</v>
      </c>
      <c r="K166" s="43" t="s">
        <v>2185</v>
      </c>
    </row>
    <row r="167" spans="1:11" ht="30" x14ac:dyDescent="0.25">
      <c r="A167" s="25">
        <v>166</v>
      </c>
      <c r="B167" s="25" t="s">
        <v>2446</v>
      </c>
      <c r="C167" s="25" t="s">
        <v>225</v>
      </c>
      <c r="D167" s="25" t="s">
        <v>2244</v>
      </c>
      <c r="E167" s="44" t="s">
        <v>2314</v>
      </c>
      <c r="F167" s="48">
        <v>83</v>
      </c>
      <c r="G167" s="49">
        <v>82</v>
      </c>
      <c r="H167" s="49">
        <v>81</v>
      </c>
      <c r="I167" s="50">
        <f t="shared" si="5"/>
        <v>82</v>
      </c>
      <c r="J167" s="25" t="s">
        <v>2184</v>
      </c>
      <c r="K167" s="43" t="s">
        <v>2185</v>
      </c>
    </row>
    <row r="168" spans="1:11" ht="30" x14ac:dyDescent="0.25">
      <c r="A168" s="25">
        <v>167</v>
      </c>
      <c r="B168" s="25" t="s">
        <v>2447</v>
      </c>
      <c r="C168" s="25" t="s">
        <v>741</v>
      </c>
      <c r="D168" s="25" t="s">
        <v>2182</v>
      </c>
      <c r="E168" s="44" t="s">
        <v>2308</v>
      </c>
      <c r="F168" s="48">
        <v>83</v>
      </c>
      <c r="G168" s="49">
        <v>82</v>
      </c>
      <c r="H168" s="49">
        <v>81</v>
      </c>
      <c r="I168" s="50">
        <f t="shared" si="5"/>
        <v>82</v>
      </c>
      <c r="J168" s="25" t="s">
        <v>2184</v>
      </c>
      <c r="K168" s="43" t="s">
        <v>2185</v>
      </c>
    </row>
    <row r="169" spans="1:11" ht="30" x14ac:dyDescent="0.25">
      <c r="A169" s="25">
        <v>168</v>
      </c>
      <c r="B169" s="25" t="s">
        <v>2448</v>
      </c>
      <c r="C169" s="25" t="s">
        <v>2370</v>
      </c>
      <c r="D169" s="25" t="s">
        <v>2328</v>
      </c>
      <c r="E169" s="44" t="s">
        <v>2329</v>
      </c>
      <c r="F169" s="48">
        <v>83</v>
      </c>
      <c r="G169" s="49">
        <v>82</v>
      </c>
      <c r="H169" s="49">
        <v>81</v>
      </c>
      <c r="I169" s="50">
        <f t="shared" si="5"/>
        <v>82</v>
      </c>
      <c r="J169" s="25" t="s">
        <v>2184</v>
      </c>
      <c r="K169" s="43" t="s">
        <v>2185</v>
      </c>
    </row>
    <row r="170" spans="1:11" ht="30" x14ac:dyDescent="0.25">
      <c r="A170" s="25">
        <v>169</v>
      </c>
      <c r="B170" s="25" t="s">
        <v>2449</v>
      </c>
      <c r="C170" s="25" t="s">
        <v>18</v>
      </c>
      <c r="D170" s="25" t="s">
        <v>2342</v>
      </c>
      <c r="E170" s="44" t="s">
        <v>2343</v>
      </c>
      <c r="F170" s="48">
        <v>83</v>
      </c>
      <c r="G170" s="49">
        <v>82</v>
      </c>
      <c r="H170" s="49">
        <v>81</v>
      </c>
      <c r="I170" s="50">
        <f t="shared" si="5"/>
        <v>82</v>
      </c>
      <c r="J170" s="25" t="s">
        <v>2184</v>
      </c>
      <c r="K170" s="43" t="s">
        <v>2185</v>
      </c>
    </row>
    <row r="171" spans="1:11" ht="30" x14ac:dyDescent="0.25">
      <c r="A171" s="25">
        <v>170</v>
      </c>
      <c r="B171" s="25" t="s">
        <v>2450</v>
      </c>
      <c r="C171" s="25" t="s">
        <v>18</v>
      </c>
      <c r="D171" s="25" t="s">
        <v>2182</v>
      </c>
      <c r="E171" s="44" t="s">
        <v>2308</v>
      </c>
      <c r="F171" s="48">
        <v>82</v>
      </c>
      <c r="G171" s="49">
        <v>81</v>
      </c>
      <c r="H171" s="49">
        <v>80</v>
      </c>
      <c r="I171" s="50">
        <f t="shared" si="5"/>
        <v>81</v>
      </c>
      <c r="J171" s="25" t="s">
        <v>2184</v>
      </c>
      <c r="K171" s="43" t="s">
        <v>2185</v>
      </c>
    </row>
    <row r="172" spans="1:11" ht="30" x14ac:dyDescent="0.25">
      <c r="A172" s="25">
        <v>171</v>
      </c>
      <c r="B172" s="25" t="s">
        <v>2451</v>
      </c>
      <c r="C172" s="25" t="s">
        <v>37</v>
      </c>
      <c r="D172" s="25" t="s">
        <v>2205</v>
      </c>
      <c r="E172" s="44" t="s">
        <v>2320</v>
      </c>
      <c r="F172" s="48">
        <v>82</v>
      </c>
      <c r="G172" s="49">
        <v>81</v>
      </c>
      <c r="H172" s="49">
        <v>80</v>
      </c>
      <c r="I172" s="50">
        <f t="shared" si="5"/>
        <v>81</v>
      </c>
      <c r="J172" s="25" t="s">
        <v>2184</v>
      </c>
      <c r="K172" s="43" t="s">
        <v>2185</v>
      </c>
    </row>
    <row r="173" spans="1:11" ht="30" x14ac:dyDescent="0.25">
      <c r="A173" s="25">
        <v>172</v>
      </c>
      <c r="B173" s="25" t="s">
        <v>2452</v>
      </c>
      <c r="C173" s="25" t="s">
        <v>37</v>
      </c>
      <c r="D173" s="25" t="s">
        <v>2244</v>
      </c>
      <c r="E173" s="44" t="s">
        <v>2314</v>
      </c>
      <c r="F173" s="48">
        <v>82</v>
      </c>
      <c r="G173" s="49">
        <v>81</v>
      </c>
      <c r="H173" s="49">
        <v>80</v>
      </c>
      <c r="I173" s="50">
        <f t="shared" si="5"/>
        <v>81</v>
      </c>
      <c r="J173" s="25" t="s">
        <v>2184</v>
      </c>
      <c r="K173" s="43" t="s">
        <v>2185</v>
      </c>
    </row>
    <row r="174" spans="1:11" ht="30" x14ac:dyDescent="0.25">
      <c r="A174" s="25">
        <v>173</v>
      </c>
      <c r="B174" s="25" t="s">
        <v>2453</v>
      </c>
      <c r="C174" s="25" t="s">
        <v>2313</v>
      </c>
      <c r="D174" s="25" t="s">
        <v>2244</v>
      </c>
      <c r="E174" s="44" t="s">
        <v>2314</v>
      </c>
      <c r="F174" s="48">
        <v>82</v>
      </c>
      <c r="G174" s="49">
        <v>81</v>
      </c>
      <c r="H174" s="49">
        <v>80</v>
      </c>
      <c r="I174" s="50">
        <f t="shared" si="5"/>
        <v>81</v>
      </c>
      <c r="J174" s="25" t="s">
        <v>2184</v>
      </c>
      <c r="K174" s="43" t="s">
        <v>2185</v>
      </c>
    </row>
    <row r="175" spans="1:11" ht="30" x14ac:dyDescent="0.25">
      <c r="A175" s="25">
        <v>174</v>
      </c>
      <c r="B175" s="25" t="s">
        <v>2454</v>
      </c>
      <c r="C175" s="25" t="s">
        <v>18</v>
      </c>
      <c r="D175" s="25" t="s">
        <v>2267</v>
      </c>
      <c r="E175" s="44" t="s">
        <v>2334</v>
      </c>
      <c r="F175" s="48">
        <v>82</v>
      </c>
      <c r="G175" s="49">
        <v>81</v>
      </c>
      <c r="H175" s="49">
        <v>80</v>
      </c>
      <c r="I175" s="50">
        <f t="shared" si="5"/>
        <v>81</v>
      </c>
      <c r="J175" s="25" t="s">
        <v>2184</v>
      </c>
      <c r="K175" s="43" t="s">
        <v>2185</v>
      </c>
    </row>
    <row r="176" spans="1:11" ht="30" x14ac:dyDescent="0.25">
      <c r="A176" s="25">
        <v>175</v>
      </c>
      <c r="B176" s="25" t="s">
        <v>2455</v>
      </c>
      <c r="C176" s="25" t="s">
        <v>2370</v>
      </c>
      <c r="D176" s="25" t="s">
        <v>2267</v>
      </c>
      <c r="E176" s="44" t="s">
        <v>2334</v>
      </c>
      <c r="F176" s="48">
        <v>82</v>
      </c>
      <c r="G176" s="49">
        <v>81</v>
      </c>
      <c r="H176" s="49">
        <v>80</v>
      </c>
      <c r="I176" s="50">
        <f t="shared" si="5"/>
        <v>81</v>
      </c>
      <c r="J176" s="25" t="s">
        <v>2184</v>
      </c>
      <c r="K176" s="43" t="s">
        <v>2185</v>
      </c>
    </row>
    <row r="177" spans="1:11" ht="30" x14ac:dyDescent="0.25">
      <c r="A177" s="25">
        <v>176</v>
      </c>
      <c r="B177" s="25" t="s">
        <v>2456</v>
      </c>
      <c r="C177" s="25" t="s">
        <v>62</v>
      </c>
      <c r="D177" s="25" t="s">
        <v>2244</v>
      </c>
      <c r="E177" s="44" t="s">
        <v>2314</v>
      </c>
      <c r="F177" s="48">
        <v>82</v>
      </c>
      <c r="G177" s="49">
        <v>81</v>
      </c>
      <c r="H177" s="49">
        <v>80</v>
      </c>
      <c r="I177" s="50">
        <f t="shared" si="5"/>
        <v>81</v>
      </c>
      <c r="J177" s="25" t="s">
        <v>2184</v>
      </c>
      <c r="K177" s="43" t="s">
        <v>2185</v>
      </c>
    </row>
    <row r="178" spans="1:11" ht="30" x14ac:dyDescent="0.25">
      <c r="A178" s="25">
        <v>177</v>
      </c>
      <c r="B178" s="25" t="s">
        <v>2457</v>
      </c>
      <c r="C178" s="25" t="s">
        <v>37</v>
      </c>
      <c r="D178" s="25" t="s">
        <v>794</v>
      </c>
      <c r="E178" s="44" t="s">
        <v>2458</v>
      </c>
      <c r="F178" s="48">
        <v>84</v>
      </c>
      <c r="G178" s="49">
        <v>82</v>
      </c>
      <c r="H178" s="49">
        <v>80</v>
      </c>
      <c r="I178" s="50">
        <f t="shared" si="5"/>
        <v>83</v>
      </c>
      <c r="J178" s="25" t="s">
        <v>2184</v>
      </c>
      <c r="K178" s="43" t="s">
        <v>2185</v>
      </c>
    </row>
    <row r="179" spans="1:11" ht="30" x14ac:dyDescent="0.25">
      <c r="A179" s="25">
        <v>178</v>
      </c>
      <c r="B179" s="25" t="s">
        <v>2459</v>
      </c>
      <c r="C179" s="25" t="s">
        <v>37</v>
      </c>
      <c r="D179" s="25" t="s">
        <v>794</v>
      </c>
      <c r="E179" s="44" t="s">
        <v>2458</v>
      </c>
      <c r="F179" s="48">
        <v>84</v>
      </c>
      <c r="G179" s="49">
        <v>82</v>
      </c>
      <c r="H179" s="49">
        <v>80</v>
      </c>
      <c r="I179" s="50">
        <f t="shared" si="5"/>
        <v>83</v>
      </c>
      <c r="J179" s="25" t="s">
        <v>2184</v>
      </c>
      <c r="K179" s="43" t="s">
        <v>2185</v>
      </c>
    </row>
    <row r="180" spans="1:11" ht="30" x14ac:dyDescent="0.25">
      <c r="A180" s="25">
        <v>179</v>
      </c>
      <c r="B180" s="25" t="s">
        <v>2460</v>
      </c>
      <c r="C180" s="25" t="s">
        <v>37</v>
      </c>
      <c r="D180" s="25" t="s">
        <v>794</v>
      </c>
      <c r="E180" s="44" t="s">
        <v>2458</v>
      </c>
      <c r="F180" s="48">
        <v>84</v>
      </c>
      <c r="G180" s="49">
        <v>82</v>
      </c>
      <c r="H180" s="49">
        <v>80</v>
      </c>
      <c r="I180" s="50">
        <f t="shared" si="5"/>
        <v>83</v>
      </c>
      <c r="J180" s="25" t="s">
        <v>2184</v>
      </c>
      <c r="K180" s="43" t="s">
        <v>2185</v>
      </c>
    </row>
    <row r="181" spans="1:11" ht="30" x14ac:dyDescent="0.25">
      <c r="A181" s="25">
        <v>180</v>
      </c>
      <c r="B181" s="25" t="s">
        <v>2461</v>
      </c>
      <c r="C181" s="25" t="s">
        <v>37</v>
      </c>
      <c r="D181" s="25" t="s">
        <v>794</v>
      </c>
      <c r="E181" s="44" t="s">
        <v>2458</v>
      </c>
      <c r="F181" s="48">
        <v>84</v>
      </c>
      <c r="G181" s="49">
        <v>82</v>
      </c>
      <c r="H181" s="49">
        <v>80</v>
      </c>
      <c r="I181" s="50">
        <f t="shared" si="5"/>
        <v>83</v>
      </c>
      <c r="J181" s="25" t="s">
        <v>2184</v>
      </c>
      <c r="K181" s="43" t="s">
        <v>2185</v>
      </c>
    </row>
    <row r="182" spans="1:11" ht="30" x14ac:dyDescent="0.25">
      <c r="A182" s="25">
        <v>181</v>
      </c>
      <c r="B182" s="25" t="s">
        <v>2462</v>
      </c>
      <c r="C182" s="25" t="s">
        <v>37</v>
      </c>
      <c r="D182" s="25" t="s">
        <v>794</v>
      </c>
      <c r="E182" s="44" t="s">
        <v>2458</v>
      </c>
      <c r="F182" s="48">
        <v>84</v>
      </c>
      <c r="G182" s="49">
        <v>82</v>
      </c>
      <c r="H182" s="49">
        <v>80</v>
      </c>
      <c r="I182" s="50">
        <f t="shared" si="5"/>
        <v>83</v>
      </c>
      <c r="J182" s="25" t="s">
        <v>2184</v>
      </c>
      <c r="K182" s="43" t="s">
        <v>2185</v>
      </c>
    </row>
    <row r="183" spans="1:11" ht="30" x14ac:dyDescent="0.25">
      <c r="A183" s="25">
        <v>182</v>
      </c>
      <c r="B183" s="25" t="s">
        <v>2463</v>
      </c>
      <c r="C183" s="25" t="s">
        <v>37</v>
      </c>
      <c r="D183" s="25" t="s">
        <v>794</v>
      </c>
      <c r="E183" s="44" t="s">
        <v>2458</v>
      </c>
      <c r="F183" s="48">
        <v>84</v>
      </c>
      <c r="G183" s="49">
        <v>82</v>
      </c>
      <c r="H183" s="49">
        <v>80</v>
      </c>
      <c r="I183" s="50">
        <f t="shared" si="5"/>
        <v>83</v>
      </c>
      <c r="J183" s="25" t="s">
        <v>2184</v>
      </c>
      <c r="K183" s="43" t="s">
        <v>2185</v>
      </c>
    </row>
    <row r="184" spans="1:11" ht="30" x14ac:dyDescent="0.25">
      <c r="A184" s="25">
        <v>183</v>
      </c>
      <c r="B184" s="25" t="s">
        <v>2464</v>
      </c>
      <c r="C184" s="25" t="s">
        <v>37</v>
      </c>
      <c r="D184" s="25" t="s">
        <v>794</v>
      </c>
      <c r="E184" s="44" t="s">
        <v>2458</v>
      </c>
      <c r="F184" s="48">
        <v>84</v>
      </c>
      <c r="G184" s="49">
        <v>82</v>
      </c>
      <c r="H184" s="49">
        <v>80</v>
      </c>
      <c r="I184" s="50">
        <f t="shared" si="5"/>
        <v>83</v>
      </c>
      <c r="J184" s="25" t="s">
        <v>2184</v>
      </c>
      <c r="K184" s="43" t="s">
        <v>2185</v>
      </c>
    </row>
    <row r="185" spans="1:11" ht="30" x14ac:dyDescent="0.25">
      <c r="A185" s="25">
        <v>184</v>
      </c>
      <c r="B185" s="25" t="s">
        <v>2465</v>
      </c>
      <c r="C185" s="25" t="s">
        <v>37</v>
      </c>
      <c r="D185" s="25" t="s">
        <v>794</v>
      </c>
      <c r="E185" s="44" t="s">
        <v>2458</v>
      </c>
      <c r="F185" s="48">
        <v>84</v>
      </c>
      <c r="G185" s="49">
        <v>82</v>
      </c>
      <c r="H185" s="49">
        <v>80</v>
      </c>
      <c r="I185" s="50">
        <f t="shared" si="5"/>
        <v>83</v>
      </c>
      <c r="J185" s="25" t="s">
        <v>2184</v>
      </c>
      <c r="K185" s="43" t="s">
        <v>2185</v>
      </c>
    </row>
    <row r="186" spans="1:11" ht="30" x14ac:dyDescent="0.25">
      <c r="A186" s="25">
        <v>185</v>
      </c>
      <c r="B186" s="25" t="s">
        <v>2466</v>
      </c>
      <c r="C186" s="25" t="s">
        <v>37</v>
      </c>
      <c r="D186" s="25" t="s">
        <v>794</v>
      </c>
      <c r="E186" s="44" t="s">
        <v>2458</v>
      </c>
      <c r="F186" s="48">
        <v>84</v>
      </c>
      <c r="G186" s="49">
        <v>82</v>
      </c>
      <c r="H186" s="49">
        <v>80</v>
      </c>
      <c r="I186" s="50">
        <f t="shared" si="5"/>
        <v>83</v>
      </c>
      <c r="J186" s="25" t="s">
        <v>2184</v>
      </c>
      <c r="K186" s="43" t="s">
        <v>2185</v>
      </c>
    </row>
    <row r="187" spans="1:11" ht="30" x14ac:dyDescent="0.25">
      <c r="A187" s="25">
        <v>186</v>
      </c>
      <c r="B187" s="25" t="s">
        <v>2467</v>
      </c>
      <c r="C187" s="25" t="s">
        <v>37</v>
      </c>
      <c r="D187" s="25" t="s">
        <v>794</v>
      </c>
      <c r="E187" s="44" t="s">
        <v>2458</v>
      </c>
      <c r="F187" s="48">
        <v>84</v>
      </c>
      <c r="G187" s="49">
        <v>82</v>
      </c>
      <c r="H187" s="49">
        <v>80</v>
      </c>
      <c r="I187" s="50">
        <f t="shared" si="5"/>
        <v>83</v>
      </c>
      <c r="J187" s="25" t="s">
        <v>2184</v>
      </c>
      <c r="K187" s="43" t="s">
        <v>2185</v>
      </c>
    </row>
    <row r="188" spans="1:11" ht="30" x14ac:dyDescent="0.25">
      <c r="A188" s="25">
        <v>187</v>
      </c>
      <c r="B188" s="25" t="s">
        <v>2468</v>
      </c>
      <c r="C188" s="25" t="s">
        <v>37</v>
      </c>
      <c r="D188" s="25" t="s">
        <v>794</v>
      </c>
      <c r="E188" s="44" t="s">
        <v>2458</v>
      </c>
      <c r="F188" s="48">
        <v>84</v>
      </c>
      <c r="G188" s="49">
        <v>82</v>
      </c>
      <c r="H188" s="49">
        <v>80</v>
      </c>
      <c r="I188" s="50">
        <f t="shared" si="5"/>
        <v>83</v>
      </c>
      <c r="J188" s="25" t="s">
        <v>2184</v>
      </c>
      <c r="K188" s="43" t="s">
        <v>2185</v>
      </c>
    </row>
    <row r="189" spans="1:11" ht="30" x14ac:dyDescent="0.25">
      <c r="A189" s="25">
        <v>188</v>
      </c>
      <c r="B189" s="25" t="s">
        <v>2469</v>
      </c>
      <c r="C189" s="25" t="s">
        <v>37</v>
      </c>
      <c r="D189" s="25" t="s">
        <v>794</v>
      </c>
      <c r="E189" s="44" t="s">
        <v>2458</v>
      </c>
      <c r="F189" s="48">
        <v>84</v>
      </c>
      <c r="G189" s="49">
        <v>82</v>
      </c>
      <c r="H189" s="49">
        <v>80</v>
      </c>
      <c r="I189" s="50">
        <f t="shared" si="5"/>
        <v>83</v>
      </c>
      <c r="J189" s="25" t="s">
        <v>2184</v>
      </c>
      <c r="K189" s="43" t="s">
        <v>2185</v>
      </c>
    </row>
    <row r="190" spans="1:11" ht="30" x14ac:dyDescent="0.25">
      <c r="A190" s="25">
        <v>189</v>
      </c>
      <c r="B190" s="25" t="s">
        <v>2470</v>
      </c>
      <c r="C190" s="25" t="s">
        <v>37</v>
      </c>
      <c r="D190" s="25" t="s">
        <v>794</v>
      </c>
      <c r="E190" s="44" t="s">
        <v>2458</v>
      </c>
      <c r="F190" s="48">
        <v>84</v>
      </c>
      <c r="G190" s="49">
        <v>82</v>
      </c>
      <c r="H190" s="49">
        <v>80</v>
      </c>
      <c r="I190" s="50">
        <f t="shared" si="5"/>
        <v>83</v>
      </c>
      <c r="J190" s="25" t="s">
        <v>2184</v>
      </c>
      <c r="K190" s="43" t="s">
        <v>2185</v>
      </c>
    </row>
    <row r="191" spans="1:11" ht="30" x14ac:dyDescent="0.25">
      <c r="A191" s="25">
        <v>190</v>
      </c>
      <c r="B191" s="25" t="s">
        <v>2471</v>
      </c>
      <c r="C191" s="25" t="s">
        <v>37</v>
      </c>
      <c r="D191" s="25" t="s">
        <v>794</v>
      </c>
      <c r="E191" s="44" t="s">
        <v>2458</v>
      </c>
      <c r="F191" s="48">
        <v>84</v>
      </c>
      <c r="G191" s="49">
        <v>82</v>
      </c>
      <c r="H191" s="49">
        <v>80</v>
      </c>
      <c r="I191" s="50">
        <f t="shared" si="5"/>
        <v>83</v>
      </c>
      <c r="J191" s="25" t="s">
        <v>2184</v>
      </c>
      <c r="K191" s="43" t="s">
        <v>2185</v>
      </c>
    </row>
    <row r="192" spans="1:11" ht="30" x14ac:dyDescent="0.25">
      <c r="A192" s="25">
        <v>191</v>
      </c>
      <c r="B192" s="25" t="s">
        <v>2472</v>
      </c>
      <c r="C192" s="25" t="s">
        <v>37</v>
      </c>
      <c r="D192" s="25" t="s">
        <v>794</v>
      </c>
      <c r="E192" s="44" t="s">
        <v>2458</v>
      </c>
      <c r="F192" s="48">
        <v>84</v>
      </c>
      <c r="G192" s="49">
        <v>82</v>
      </c>
      <c r="H192" s="49">
        <v>80</v>
      </c>
      <c r="I192" s="50">
        <f t="shared" si="5"/>
        <v>83</v>
      </c>
      <c r="J192" s="25" t="s">
        <v>2184</v>
      </c>
      <c r="K192" s="43" t="s">
        <v>2185</v>
      </c>
    </row>
    <row r="193" spans="1:11" ht="30" x14ac:dyDescent="0.25">
      <c r="A193" s="25">
        <v>192</v>
      </c>
      <c r="B193" s="25" t="s">
        <v>2473</v>
      </c>
      <c r="C193" s="25" t="s">
        <v>37</v>
      </c>
      <c r="D193" s="25" t="s">
        <v>794</v>
      </c>
      <c r="E193" s="44" t="s">
        <v>2458</v>
      </c>
      <c r="F193" s="48">
        <v>84</v>
      </c>
      <c r="G193" s="49">
        <v>82</v>
      </c>
      <c r="H193" s="49">
        <v>80</v>
      </c>
      <c r="I193" s="50">
        <f t="shared" si="5"/>
        <v>83</v>
      </c>
      <c r="J193" s="25" t="s">
        <v>2184</v>
      </c>
      <c r="K193" s="43" t="s">
        <v>2185</v>
      </c>
    </row>
    <row r="194" spans="1:11" ht="30" x14ac:dyDescent="0.25">
      <c r="A194" s="25">
        <v>193</v>
      </c>
      <c r="B194" s="25" t="s">
        <v>2474</v>
      </c>
      <c r="C194" s="25" t="s">
        <v>37</v>
      </c>
      <c r="D194" s="25" t="s">
        <v>794</v>
      </c>
      <c r="E194" s="44" t="s">
        <v>2458</v>
      </c>
      <c r="F194" s="48">
        <v>84</v>
      </c>
      <c r="G194" s="49">
        <v>82</v>
      </c>
      <c r="H194" s="49">
        <v>80</v>
      </c>
      <c r="I194" s="50">
        <f t="shared" ref="I194:I225" si="6">ROUND(F194*0.55+G194*0.3+H194*0.15,0)</f>
        <v>83</v>
      </c>
      <c r="J194" s="25" t="s">
        <v>2184</v>
      </c>
      <c r="K194" s="43" t="s">
        <v>2185</v>
      </c>
    </row>
    <row r="195" spans="1:11" ht="30" x14ac:dyDescent="0.25">
      <c r="A195" s="25">
        <v>194</v>
      </c>
      <c r="B195" s="25" t="s">
        <v>2475</v>
      </c>
      <c r="C195" s="25" t="s">
        <v>37</v>
      </c>
      <c r="D195" s="25" t="s">
        <v>794</v>
      </c>
      <c r="E195" s="44" t="s">
        <v>2458</v>
      </c>
      <c r="F195" s="48">
        <v>84</v>
      </c>
      <c r="G195" s="49">
        <v>82</v>
      </c>
      <c r="H195" s="49">
        <v>80</v>
      </c>
      <c r="I195" s="50">
        <f t="shared" si="6"/>
        <v>83</v>
      </c>
      <c r="J195" s="25" t="s">
        <v>2184</v>
      </c>
      <c r="K195" s="43" t="s">
        <v>2185</v>
      </c>
    </row>
    <row r="196" spans="1:11" ht="30" x14ac:dyDescent="0.25">
      <c r="A196" s="25">
        <v>195</v>
      </c>
      <c r="B196" s="25" t="s">
        <v>2476</v>
      </c>
      <c r="C196" s="25" t="s">
        <v>37</v>
      </c>
      <c r="D196" s="25" t="s">
        <v>794</v>
      </c>
      <c r="E196" s="44" t="s">
        <v>2458</v>
      </c>
      <c r="F196" s="48">
        <v>84</v>
      </c>
      <c r="G196" s="49">
        <v>82</v>
      </c>
      <c r="H196" s="49">
        <v>80</v>
      </c>
      <c r="I196" s="50">
        <f t="shared" si="6"/>
        <v>83</v>
      </c>
      <c r="J196" s="25" t="s">
        <v>2184</v>
      </c>
      <c r="K196" s="43" t="s">
        <v>2185</v>
      </c>
    </row>
    <row r="197" spans="1:11" ht="30" x14ac:dyDescent="0.25">
      <c r="A197" s="25">
        <v>196</v>
      </c>
      <c r="B197" s="25" t="s">
        <v>2477</v>
      </c>
      <c r="C197" s="25" t="s">
        <v>37</v>
      </c>
      <c r="D197" s="25" t="s">
        <v>794</v>
      </c>
      <c r="E197" s="44" t="s">
        <v>2458</v>
      </c>
      <c r="F197" s="48">
        <v>84</v>
      </c>
      <c r="G197" s="49">
        <v>82</v>
      </c>
      <c r="H197" s="49">
        <v>80</v>
      </c>
      <c r="I197" s="50">
        <f t="shared" si="6"/>
        <v>83</v>
      </c>
      <c r="J197" s="25" t="s">
        <v>2184</v>
      </c>
      <c r="K197" s="43" t="s">
        <v>2185</v>
      </c>
    </row>
    <row r="198" spans="1:11" ht="30" x14ac:dyDescent="0.25">
      <c r="A198" s="25">
        <v>197</v>
      </c>
      <c r="B198" s="25" t="s">
        <v>2478</v>
      </c>
      <c r="C198" s="25" t="s">
        <v>37</v>
      </c>
      <c r="D198" s="25" t="s">
        <v>794</v>
      </c>
      <c r="E198" s="44" t="s">
        <v>2458</v>
      </c>
      <c r="F198" s="48">
        <v>84</v>
      </c>
      <c r="G198" s="49">
        <v>82</v>
      </c>
      <c r="H198" s="49">
        <v>80</v>
      </c>
      <c r="I198" s="50">
        <f t="shared" si="6"/>
        <v>83</v>
      </c>
      <c r="J198" s="25" t="s">
        <v>2184</v>
      </c>
      <c r="K198" s="43" t="s">
        <v>2185</v>
      </c>
    </row>
    <row r="199" spans="1:11" ht="30" x14ac:dyDescent="0.25">
      <c r="A199" s="25">
        <v>198</v>
      </c>
      <c r="B199" s="25" t="s">
        <v>2479</v>
      </c>
      <c r="C199" s="25" t="s">
        <v>37</v>
      </c>
      <c r="D199" s="25" t="s">
        <v>794</v>
      </c>
      <c r="E199" s="44" t="s">
        <v>2458</v>
      </c>
      <c r="F199" s="48">
        <v>84</v>
      </c>
      <c r="G199" s="49">
        <v>82</v>
      </c>
      <c r="H199" s="49">
        <v>80</v>
      </c>
      <c r="I199" s="50">
        <f t="shared" si="6"/>
        <v>83</v>
      </c>
      <c r="J199" s="25" t="s">
        <v>2184</v>
      </c>
      <c r="K199" s="43" t="s">
        <v>2185</v>
      </c>
    </row>
    <row r="200" spans="1:11" ht="30" x14ac:dyDescent="0.25">
      <c r="A200" s="25">
        <v>199</v>
      </c>
      <c r="B200" s="25" t="s">
        <v>2480</v>
      </c>
      <c r="C200" s="25" t="s">
        <v>37</v>
      </c>
      <c r="D200" s="25" t="s">
        <v>794</v>
      </c>
      <c r="E200" s="44" t="s">
        <v>2458</v>
      </c>
      <c r="F200" s="48">
        <v>84</v>
      </c>
      <c r="G200" s="49">
        <v>82</v>
      </c>
      <c r="H200" s="49">
        <v>80</v>
      </c>
      <c r="I200" s="50">
        <f t="shared" si="6"/>
        <v>83</v>
      </c>
      <c r="J200" s="25" t="s">
        <v>2184</v>
      </c>
      <c r="K200" s="43" t="s">
        <v>2185</v>
      </c>
    </row>
    <row r="201" spans="1:11" ht="30" x14ac:dyDescent="0.25">
      <c r="A201" s="25">
        <v>200</v>
      </c>
      <c r="B201" s="25" t="s">
        <v>2481</v>
      </c>
      <c r="C201" s="25" t="s">
        <v>37</v>
      </c>
      <c r="D201" s="25" t="s">
        <v>794</v>
      </c>
      <c r="E201" s="44" t="s">
        <v>2458</v>
      </c>
      <c r="F201" s="48">
        <v>84</v>
      </c>
      <c r="G201" s="49">
        <v>82</v>
      </c>
      <c r="H201" s="49">
        <v>80</v>
      </c>
      <c r="I201" s="50">
        <f t="shared" si="6"/>
        <v>83</v>
      </c>
      <c r="J201" s="25" t="s">
        <v>2184</v>
      </c>
      <c r="K201" s="43" t="s">
        <v>2185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10"/>
  <sheetViews>
    <sheetView showGridLines="0" tabSelected="1" workbookViewId="0">
      <pane ySplit="7" topLeftCell="A30" activePane="bottomLeft" state="frozen"/>
      <selection pane="bottomLeft" activeCell="C86" sqref="C86"/>
    </sheetView>
  </sheetViews>
  <sheetFormatPr defaultRowHeight="15" x14ac:dyDescent="0.25"/>
  <cols>
    <col min="1" max="1" width="22" customWidth="1"/>
    <col min="2" max="2" width="24" customWidth="1"/>
    <col min="3" max="5" width="16" customWidth="1"/>
    <col min="6" max="6" width="24" customWidth="1"/>
    <col min="7" max="7" width="14" customWidth="1"/>
    <col min="8" max="8" width="58" customWidth="1"/>
  </cols>
  <sheetData>
    <row r="1" spans="1:8" ht="24" customHeight="1" x14ac:dyDescent="0.35">
      <c r="A1" s="51" t="s">
        <v>2482</v>
      </c>
      <c r="B1" s="52"/>
      <c r="C1" s="52"/>
      <c r="D1" s="52"/>
      <c r="E1" s="52"/>
      <c r="F1" s="52"/>
      <c r="G1" s="52"/>
      <c r="H1" s="52"/>
    </row>
    <row r="2" spans="1:8" ht="24" customHeight="1" x14ac:dyDescent="0.25">
      <c r="A2" s="37" t="s">
        <v>2483</v>
      </c>
      <c r="B2" s="53" t="s">
        <v>2484</v>
      </c>
      <c r="C2" s="52"/>
      <c r="D2" s="52"/>
      <c r="E2" s="52"/>
      <c r="F2" s="52"/>
      <c r="G2" s="52"/>
      <c r="H2" s="52"/>
    </row>
    <row r="3" spans="1:8" ht="24" customHeight="1" x14ac:dyDescent="0.25">
      <c r="A3" s="37" t="s">
        <v>2485</v>
      </c>
      <c r="B3" s="53" t="s">
        <v>2486</v>
      </c>
      <c r="C3" s="52"/>
      <c r="D3" s="52"/>
      <c r="E3" s="52"/>
      <c r="F3" s="52"/>
      <c r="G3" s="52"/>
      <c r="H3" s="52"/>
    </row>
    <row r="4" spans="1:8" ht="24" customHeight="1" x14ac:dyDescent="0.25">
      <c r="A4" s="37" t="s">
        <v>2487</v>
      </c>
      <c r="B4" s="53" t="s">
        <v>2488</v>
      </c>
      <c r="C4" s="52"/>
      <c r="D4" s="52"/>
      <c r="E4" s="52"/>
      <c r="F4" s="52"/>
      <c r="G4" s="52"/>
      <c r="H4" s="52"/>
    </row>
    <row r="5" spans="1:8" ht="24" customHeight="1" x14ac:dyDescent="0.25">
      <c r="A5" s="37" t="s">
        <v>2489</v>
      </c>
      <c r="B5" s="53" t="s">
        <v>2490</v>
      </c>
      <c r="C5" s="52"/>
      <c r="D5" s="52"/>
      <c r="E5" s="52"/>
      <c r="F5" s="52"/>
      <c r="G5" s="52"/>
      <c r="H5" s="52"/>
    </row>
    <row r="6" spans="1:8" ht="24" customHeight="1" x14ac:dyDescent="0.25"/>
    <row r="7" spans="1:8" ht="27.95" customHeight="1" x14ac:dyDescent="0.25">
      <c r="A7" s="4" t="s">
        <v>2491</v>
      </c>
      <c r="B7" s="4" t="s">
        <v>2492</v>
      </c>
      <c r="C7" s="4" t="s">
        <v>2493</v>
      </c>
      <c r="D7" s="4" t="s">
        <v>2494</v>
      </c>
      <c r="E7" s="4" t="s">
        <v>2495</v>
      </c>
      <c r="F7" s="4" t="s">
        <v>2496</v>
      </c>
      <c r="G7" s="4" t="s">
        <v>787</v>
      </c>
    </row>
    <row r="8" spans="1:8" ht="27.95" customHeight="1" x14ac:dyDescent="0.25">
      <c r="A8" s="2" t="s">
        <v>96</v>
      </c>
      <c r="B8" s="2" t="s">
        <v>2497</v>
      </c>
      <c r="C8" s="3">
        <v>0</v>
      </c>
      <c r="D8" s="3">
        <v>0</v>
      </c>
      <c r="E8" s="3">
        <v>0</v>
      </c>
      <c r="F8" s="2" t="s">
        <v>2498</v>
      </c>
      <c r="G8" s="2" t="s">
        <v>2499</v>
      </c>
    </row>
    <row r="9" spans="1:8" ht="27.95" customHeight="1" x14ac:dyDescent="0.25">
      <c r="A9" s="2" t="s">
        <v>62</v>
      </c>
      <c r="B9" s="2" t="s">
        <v>2500</v>
      </c>
      <c r="C9" s="3">
        <v>1</v>
      </c>
      <c r="D9" s="3">
        <v>0.82</v>
      </c>
      <c r="E9" s="3">
        <v>0.55000000000000004</v>
      </c>
      <c r="F9" s="2" t="s">
        <v>2501</v>
      </c>
      <c r="G9" s="2" t="s">
        <v>2502</v>
      </c>
    </row>
    <row r="10" spans="1:8" ht="27.95" customHeight="1" x14ac:dyDescent="0.25">
      <c r="A10" s="2" t="s">
        <v>2503</v>
      </c>
      <c r="B10" s="2" t="s">
        <v>2504</v>
      </c>
      <c r="C10" s="3">
        <v>1</v>
      </c>
      <c r="D10" s="3">
        <v>0.85</v>
      </c>
      <c r="E10" s="3">
        <v>0.57999999999999996</v>
      </c>
      <c r="F10" s="2" t="s">
        <v>2501</v>
      </c>
      <c r="G10" s="2" t="s">
        <v>2505</v>
      </c>
    </row>
    <row r="11" spans="1:8" ht="27.95" customHeight="1" x14ac:dyDescent="0.25">
      <c r="A11" s="2" t="s">
        <v>113</v>
      </c>
      <c r="B11" s="2" t="s">
        <v>2506</v>
      </c>
      <c r="C11" s="3">
        <v>1</v>
      </c>
      <c r="D11" s="3">
        <v>0.82</v>
      </c>
      <c r="E11" s="3">
        <v>0.65</v>
      </c>
      <c r="F11" s="2" t="s">
        <v>2501</v>
      </c>
      <c r="G11" s="2" t="s">
        <v>2507</v>
      </c>
    </row>
    <row r="12" spans="1:8" ht="27.95" customHeight="1" x14ac:dyDescent="0.25">
      <c r="A12" s="2" t="s">
        <v>225</v>
      </c>
      <c r="B12" s="2" t="s">
        <v>2508</v>
      </c>
      <c r="C12" s="3">
        <v>1</v>
      </c>
      <c r="D12" s="3">
        <v>0.82</v>
      </c>
      <c r="E12" s="3">
        <v>0.65</v>
      </c>
      <c r="F12" s="2" t="s">
        <v>2501</v>
      </c>
      <c r="G12" s="2" t="s">
        <v>2507</v>
      </c>
    </row>
    <row r="13" spans="1:8" ht="27.95" customHeight="1" x14ac:dyDescent="0.25">
      <c r="A13" s="2" t="s">
        <v>2509</v>
      </c>
      <c r="B13" s="2" t="s">
        <v>2510</v>
      </c>
      <c r="C13" s="3">
        <v>1</v>
      </c>
      <c r="D13" s="3">
        <v>0.82</v>
      </c>
      <c r="E13" s="3">
        <v>0.65</v>
      </c>
      <c r="F13" s="2" t="s">
        <v>2501</v>
      </c>
      <c r="G13" s="2" t="s">
        <v>2511</v>
      </c>
    </row>
    <row r="14" spans="1:8" ht="27.95" customHeight="1" x14ac:dyDescent="0.25">
      <c r="A14" s="2" t="s">
        <v>2386</v>
      </c>
      <c r="B14" s="2" t="s">
        <v>2512</v>
      </c>
      <c r="C14" s="3">
        <v>1</v>
      </c>
      <c r="D14" s="3">
        <v>0.86</v>
      </c>
      <c r="E14" s="3">
        <v>0.72</v>
      </c>
      <c r="F14" s="2" t="s">
        <v>2501</v>
      </c>
      <c r="G14" s="2" t="s">
        <v>2513</v>
      </c>
    </row>
    <row r="15" spans="1:8" ht="27.95" customHeight="1" x14ac:dyDescent="0.25">
      <c r="A15" s="2" t="s">
        <v>2353</v>
      </c>
      <c r="B15" s="2" t="s">
        <v>2514</v>
      </c>
      <c r="C15" s="3">
        <v>1</v>
      </c>
      <c r="D15" s="3">
        <v>0.86</v>
      </c>
      <c r="E15" s="3">
        <v>0.72</v>
      </c>
      <c r="F15" s="2" t="s">
        <v>2501</v>
      </c>
      <c r="G15" s="2" t="s">
        <v>2513</v>
      </c>
    </row>
    <row r="16" spans="1:8" ht="27.95" customHeight="1" x14ac:dyDescent="0.25">
      <c r="A16" s="2" t="s">
        <v>137</v>
      </c>
      <c r="B16" s="2" t="s">
        <v>2515</v>
      </c>
      <c r="C16" s="3">
        <v>0.95</v>
      </c>
      <c r="D16" s="3">
        <v>1</v>
      </c>
      <c r="E16" s="3">
        <v>0.7</v>
      </c>
      <c r="F16" s="2" t="s">
        <v>2516</v>
      </c>
      <c r="G16" s="2" t="s">
        <v>2517</v>
      </c>
    </row>
    <row r="17" spans="1:8" ht="27.95" customHeight="1" x14ac:dyDescent="0.25">
      <c r="A17" s="2" t="s">
        <v>2370</v>
      </c>
      <c r="B17" s="2" t="s">
        <v>2515</v>
      </c>
      <c r="C17" s="3">
        <v>0.95</v>
      </c>
      <c r="D17" s="3">
        <v>1</v>
      </c>
      <c r="E17" s="3">
        <v>0.7</v>
      </c>
      <c r="F17" s="2" t="s">
        <v>2516</v>
      </c>
      <c r="G17" s="2" t="s">
        <v>2518</v>
      </c>
    </row>
    <row r="18" spans="1:8" ht="27.95" customHeight="1" x14ac:dyDescent="0.25">
      <c r="A18" s="2" t="s">
        <v>37</v>
      </c>
      <c r="B18" s="2" t="s">
        <v>2519</v>
      </c>
      <c r="C18" s="3">
        <v>0.85</v>
      </c>
      <c r="D18" s="3">
        <v>1</v>
      </c>
      <c r="E18" s="3">
        <v>0.8</v>
      </c>
      <c r="F18" s="2" t="s">
        <v>2516</v>
      </c>
      <c r="G18" s="2" t="s">
        <v>2520</v>
      </c>
    </row>
    <row r="19" spans="1:8" ht="27.95" customHeight="1" x14ac:dyDescent="0.25">
      <c r="A19" s="2" t="s">
        <v>741</v>
      </c>
      <c r="B19" s="2" t="s">
        <v>2521</v>
      </c>
      <c r="C19" s="3">
        <v>0.75</v>
      </c>
      <c r="D19" s="3">
        <v>1</v>
      </c>
      <c r="E19" s="3">
        <v>0.86</v>
      </c>
      <c r="F19" s="2" t="s">
        <v>2516</v>
      </c>
      <c r="G19" s="2" t="s">
        <v>2522</v>
      </c>
    </row>
    <row r="20" spans="1:8" ht="27.95" customHeight="1" x14ac:dyDescent="0.25">
      <c r="A20" s="2" t="s">
        <v>180</v>
      </c>
      <c r="B20" s="2" t="s">
        <v>2523</v>
      </c>
      <c r="C20" s="3">
        <v>0.75</v>
      </c>
      <c r="D20" s="3">
        <v>1</v>
      </c>
      <c r="E20" s="3">
        <v>0.86</v>
      </c>
      <c r="F20" s="2" t="s">
        <v>2516</v>
      </c>
      <c r="G20" s="2" t="s">
        <v>2522</v>
      </c>
    </row>
    <row r="21" spans="1:8" ht="27.95" customHeight="1" x14ac:dyDescent="0.25">
      <c r="A21" s="2" t="s">
        <v>238</v>
      </c>
      <c r="B21" s="2" t="s">
        <v>2524</v>
      </c>
      <c r="C21" s="3">
        <v>0.65</v>
      </c>
      <c r="D21" s="3">
        <v>1</v>
      </c>
      <c r="E21" s="3">
        <v>0.9</v>
      </c>
      <c r="F21" s="2" t="s">
        <v>2516</v>
      </c>
      <c r="G21" s="2" t="s">
        <v>2525</v>
      </c>
    </row>
    <row r="22" spans="1:8" ht="27.95" customHeight="1" x14ac:dyDescent="0.25">
      <c r="A22" s="2" t="s">
        <v>2313</v>
      </c>
      <c r="B22" s="2" t="s">
        <v>2526</v>
      </c>
      <c r="C22" s="3">
        <v>0.65</v>
      </c>
      <c r="D22" s="3">
        <v>1</v>
      </c>
      <c r="E22" s="3">
        <v>0.9</v>
      </c>
      <c r="F22" s="2" t="s">
        <v>2516</v>
      </c>
      <c r="G22" s="2" t="s">
        <v>2527</v>
      </c>
    </row>
    <row r="23" spans="1:8" ht="27.95" customHeight="1" x14ac:dyDescent="0.25">
      <c r="A23" s="2" t="s">
        <v>105</v>
      </c>
      <c r="B23" s="2" t="s">
        <v>2528</v>
      </c>
      <c r="C23" s="3">
        <v>0.65</v>
      </c>
      <c r="D23" s="3">
        <v>0.82</v>
      </c>
      <c r="E23" s="3">
        <v>1</v>
      </c>
      <c r="F23" s="2" t="s">
        <v>18</v>
      </c>
      <c r="G23" s="2" t="s">
        <v>2529</v>
      </c>
    </row>
    <row r="24" spans="1:8" ht="27.95" customHeight="1" x14ac:dyDescent="0.25">
      <c r="A24" s="2" t="s">
        <v>23</v>
      </c>
      <c r="B24" s="2" t="s">
        <v>2530</v>
      </c>
      <c r="C24" s="3">
        <v>0.65</v>
      </c>
      <c r="D24" s="3">
        <v>0.82</v>
      </c>
      <c r="E24" s="3">
        <v>1</v>
      </c>
      <c r="F24" s="2" t="s">
        <v>18</v>
      </c>
      <c r="G24" s="2" t="s">
        <v>2529</v>
      </c>
    </row>
    <row r="25" spans="1:8" ht="27.95" customHeight="1" x14ac:dyDescent="0.25">
      <c r="A25" s="2" t="s">
        <v>2531</v>
      </c>
      <c r="B25" s="2" t="s">
        <v>2532</v>
      </c>
      <c r="C25" s="3">
        <v>0.65</v>
      </c>
      <c r="D25" s="3">
        <v>0.82</v>
      </c>
      <c r="E25" s="3">
        <v>1</v>
      </c>
      <c r="F25" s="2" t="s">
        <v>18</v>
      </c>
      <c r="G25" s="2" t="s">
        <v>2533</v>
      </c>
    </row>
    <row r="26" spans="1:8" ht="27.95" customHeight="1" x14ac:dyDescent="0.25">
      <c r="A26" s="2" t="s">
        <v>67</v>
      </c>
      <c r="B26" s="2" t="s">
        <v>2534</v>
      </c>
      <c r="C26" s="3">
        <v>0.57999999999999996</v>
      </c>
      <c r="D26" s="3">
        <v>0.84</v>
      </c>
      <c r="E26" s="3">
        <v>1</v>
      </c>
      <c r="F26" s="2" t="s">
        <v>18</v>
      </c>
      <c r="G26" s="2" t="s">
        <v>2535</v>
      </c>
    </row>
    <row r="27" spans="1:8" ht="27.95" customHeight="1" x14ac:dyDescent="0.25">
      <c r="A27" s="2" t="s">
        <v>2341</v>
      </c>
      <c r="B27" s="2" t="s">
        <v>2536</v>
      </c>
      <c r="C27" s="3">
        <v>0.55000000000000004</v>
      </c>
      <c r="D27" s="3">
        <v>0.75</v>
      </c>
      <c r="E27" s="3">
        <v>1</v>
      </c>
      <c r="F27" s="2" t="s">
        <v>18</v>
      </c>
      <c r="G27" s="2" t="s">
        <v>2537</v>
      </c>
    </row>
    <row r="28" spans="1:8" ht="27.95" customHeight="1" x14ac:dyDescent="0.25">
      <c r="A28" s="2" t="s">
        <v>18</v>
      </c>
      <c r="B28" s="2" t="s">
        <v>2538</v>
      </c>
      <c r="C28" s="3">
        <v>0.55000000000000004</v>
      </c>
      <c r="D28" s="3">
        <v>0.75</v>
      </c>
      <c r="E28" s="3">
        <v>1</v>
      </c>
      <c r="F28" s="2" t="s">
        <v>18</v>
      </c>
      <c r="G28" s="2" t="s">
        <v>2537</v>
      </c>
    </row>
    <row r="29" spans="1:8" ht="27.95" customHeight="1" x14ac:dyDescent="0.25">
      <c r="A29" s="2" t="s">
        <v>380</v>
      </c>
      <c r="B29" s="2" t="s">
        <v>2539</v>
      </c>
      <c r="C29" s="3">
        <v>0.57999999999999996</v>
      </c>
      <c r="D29" s="3">
        <v>0.78</v>
      </c>
      <c r="E29" s="3">
        <v>1</v>
      </c>
      <c r="F29" s="2" t="s">
        <v>18</v>
      </c>
      <c r="G29" s="2" t="s">
        <v>2540</v>
      </c>
    </row>
    <row r="30" spans="1:8" ht="27.95" customHeight="1" x14ac:dyDescent="0.25"/>
    <row r="31" spans="1:8" ht="27.95" customHeight="1" x14ac:dyDescent="0.3">
      <c r="A31" s="54" t="s">
        <v>2541</v>
      </c>
      <c r="B31" s="52"/>
      <c r="C31" s="52"/>
      <c r="D31" s="52"/>
      <c r="E31" s="52"/>
      <c r="F31" s="52"/>
      <c r="G31" s="52"/>
      <c r="H31" s="52"/>
    </row>
    <row r="32" spans="1:8" ht="27.95" customHeight="1" x14ac:dyDescent="0.25"/>
    <row r="33" spans="1:8" ht="27.95" customHeight="1" x14ac:dyDescent="0.25">
      <c r="A33" s="4" t="s">
        <v>2542</v>
      </c>
      <c r="B33" s="4" t="s">
        <v>2543</v>
      </c>
      <c r="C33" s="4" t="s">
        <v>2493</v>
      </c>
      <c r="D33" s="4" t="s">
        <v>2494</v>
      </c>
      <c r="E33" s="4" t="s">
        <v>2495</v>
      </c>
      <c r="F33" s="4" t="s">
        <v>2544</v>
      </c>
      <c r="G33" s="4" t="s">
        <v>2545</v>
      </c>
      <c r="H33" s="4" t="s">
        <v>787</v>
      </c>
    </row>
    <row r="34" spans="1:8" ht="27.95" customHeight="1" x14ac:dyDescent="0.25">
      <c r="A34" s="2" t="s">
        <v>238</v>
      </c>
      <c r="B34" s="2" t="s">
        <v>238</v>
      </c>
      <c r="C34" s="3">
        <v>0.65</v>
      </c>
      <c r="D34" s="3">
        <v>1</v>
      </c>
      <c r="E34" s="3">
        <v>0.9</v>
      </c>
      <c r="F34" s="2" t="s">
        <v>2516</v>
      </c>
      <c r="G34" s="2" t="s">
        <v>2546</v>
      </c>
      <c r="H34" s="2" t="s">
        <v>2547</v>
      </c>
    </row>
    <row r="35" spans="1:8" ht="27.95" customHeight="1" x14ac:dyDescent="0.25">
      <c r="A35" s="2" t="s">
        <v>80</v>
      </c>
      <c r="B35" s="2" t="s">
        <v>80</v>
      </c>
      <c r="C35" s="3">
        <v>0.85</v>
      </c>
      <c r="D35" s="3">
        <v>1</v>
      </c>
      <c r="E35" s="3">
        <v>0.9</v>
      </c>
      <c r="F35" s="2" t="s">
        <v>2516</v>
      </c>
      <c r="G35" s="2" t="s">
        <v>2546</v>
      </c>
      <c r="H35" s="2" t="s">
        <v>2547</v>
      </c>
    </row>
    <row r="36" spans="1:8" ht="27.95" customHeight="1" x14ac:dyDescent="0.25">
      <c r="A36" s="2" t="s">
        <v>733</v>
      </c>
      <c r="B36" s="2" t="s">
        <v>733</v>
      </c>
      <c r="C36" s="3">
        <v>0.65</v>
      </c>
      <c r="D36" s="3">
        <v>0.94</v>
      </c>
      <c r="E36" s="3">
        <v>1</v>
      </c>
      <c r="F36" s="2" t="s">
        <v>18</v>
      </c>
      <c r="G36" s="2" t="s">
        <v>2546</v>
      </c>
      <c r="H36" s="2" t="s">
        <v>2547</v>
      </c>
    </row>
    <row r="37" spans="1:8" ht="27.95" customHeight="1" x14ac:dyDescent="0.25">
      <c r="A37" s="2" t="s">
        <v>938</v>
      </c>
      <c r="B37" s="2" t="s">
        <v>938</v>
      </c>
      <c r="C37" s="3">
        <v>0.75</v>
      </c>
      <c r="D37" s="3">
        <v>1</v>
      </c>
      <c r="E37" s="3">
        <v>0.9</v>
      </c>
      <c r="F37" s="2" t="s">
        <v>2516</v>
      </c>
      <c r="G37" s="2" t="s">
        <v>2546</v>
      </c>
      <c r="H37" s="2" t="s">
        <v>2547</v>
      </c>
    </row>
    <row r="38" spans="1:8" ht="27.95" customHeight="1" x14ac:dyDescent="0.25">
      <c r="A38" s="2" t="s">
        <v>338</v>
      </c>
      <c r="B38" s="2" t="s">
        <v>338</v>
      </c>
      <c r="C38" s="3">
        <v>0.65</v>
      </c>
      <c r="D38" s="3">
        <v>0.94</v>
      </c>
      <c r="E38" s="3">
        <v>1</v>
      </c>
      <c r="F38" s="2" t="s">
        <v>18</v>
      </c>
      <c r="G38" s="2" t="s">
        <v>2546</v>
      </c>
      <c r="H38" s="2" t="s">
        <v>2547</v>
      </c>
    </row>
    <row r="39" spans="1:8" ht="27.95" customHeight="1" x14ac:dyDescent="0.25">
      <c r="A39" s="2" t="s">
        <v>270</v>
      </c>
      <c r="B39" s="2" t="s">
        <v>270</v>
      </c>
      <c r="C39" s="3">
        <v>0.65</v>
      </c>
      <c r="D39" s="3">
        <v>0.94</v>
      </c>
      <c r="E39" s="3">
        <v>1</v>
      </c>
      <c r="F39" s="2" t="s">
        <v>18</v>
      </c>
      <c r="G39" s="2" t="s">
        <v>2546</v>
      </c>
      <c r="H39" s="2" t="s">
        <v>2547</v>
      </c>
    </row>
    <row r="40" spans="1:8" ht="27.95" customHeight="1" x14ac:dyDescent="0.25">
      <c r="A40" s="2" t="s">
        <v>242</v>
      </c>
      <c r="B40" s="2" t="s">
        <v>242</v>
      </c>
      <c r="C40" s="3">
        <v>0.65</v>
      </c>
      <c r="D40" s="3">
        <v>0.94</v>
      </c>
      <c r="E40" s="3">
        <v>1</v>
      </c>
      <c r="F40" s="2" t="s">
        <v>18</v>
      </c>
      <c r="G40" s="2" t="s">
        <v>2546</v>
      </c>
      <c r="H40" s="2" t="s">
        <v>2547</v>
      </c>
    </row>
    <row r="41" spans="1:8" ht="27.95" customHeight="1" x14ac:dyDescent="0.25">
      <c r="A41" s="2" t="s">
        <v>694</v>
      </c>
      <c r="B41" s="2" t="s">
        <v>694</v>
      </c>
      <c r="C41" s="3">
        <v>0.65</v>
      </c>
      <c r="D41" s="3">
        <v>0.94</v>
      </c>
      <c r="E41" s="3">
        <v>1</v>
      </c>
      <c r="F41" s="2" t="s">
        <v>18</v>
      </c>
      <c r="G41" s="2" t="s">
        <v>2546</v>
      </c>
      <c r="H41" s="2" t="s">
        <v>2547</v>
      </c>
    </row>
    <row r="42" spans="1:8" ht="27.95" customHeight="1" x14ac:dyDescent="0.25">
      <c r="A42" s="2" t="s">
        <v>1119</v>
      </c>
      <c r="B42" s="2" t="s">
        <v>1119</v>
      </c>
      <c r="C42" s="3">
        <v>0.65</v>
      </c>
      <c r="D42" s="3">
        <v>0.94</v>
      </c>
      <c r="E42" s="3">
        <v>1</v>
      </c>
      <c r="F42" s="2" t="s">
        <v>18</v>
      </c>
      <c r="G42" s="2" t="s">
        <v>2546</v>
      </c>
      <c r="H42" s="2" t="s">
        <v>2547</v>
      </c>
    </row>
    <row r="43" spans="1:8" ht="27.95" customHeight="1" x14ac:dyDescent="0.25">
      <c r="A43" s="2" t="s">
        <v>62</v>
      </c>
      <c r="B43" s="2" t="s">
        <v>62</v>
      </c>
      <c r="C43" s="3">
        <v>1</v>
      </c>
      <c r="D43" s="3">
        <v>0.82</v>
      </c>
      <c r="E43" s="3">
        <v>0.55000000000000004</v>
      </c>
      <c r="F43" s="2" t="s">
        <v>2501</v>
      </c>
      <c r="G43" s="2" t="s">
        <v>2546</v>
      </c>
      <c r="H43" s="2" t="s">
        <v>2547</v>
      </c>
    </row>
    <row r="44" spans="1:8" ht="27.95" customHeight="1" x14ac:dyDescent="0.25">
      <c r="A44" s="2" t="s">
        <v>867</v>
      </c>
      <c r="B44" s="2" t="s">
        <v>867</v>
      </c>
      <c r="C44" s="3">
        <v>1</v>
      </c>
      <c r="D44" s="3">
        <v>1</v>
      </c>
      <c r="E44" s="3">
        <v>0.7</v>
      </c>
      <c r="F44" s="2" t="s">
        <v>2501</v>
      </c>
      <c r="G44" s="2" t="s">
        <v>2546</v>
      </c>
      <c r="H44" s="2" t="s">
        <v>2547</v>
      </c>
    </row>
    <row r="45" spans="1:8" ht="27.95" customHeight="1" x14ac:dyDescent="0.25">
      <c r="A45" s="2" t="s">
        <v>531</v>
      </c>
      <c r="B45" s="2" t="s">
        <v>531</v>
      </c>
      <c r="C45" s="3">
        <v>1</v>
      </c>
      <c r="D45" s="3">
        <v>0.82</v>
      </c>
      <c r="E45" s="3">
        <v>0.65</v>
      </c>
      <c r="F45" s="2" t="s">
        <v>2501</v>
      </c>
      <c r="G45" s="2" t="s">
        <v>2546</v>
      </c>
      <c r="H45" s="2" t="s">
        <v>2547</v>
      </c>
    </row>
    <row r="46" spans="1:8" ht="27.95" customHeight="1" x14ac:dyDescent="0.25">
      <c r="A46" s="2" t="s">
        <v>1227</v>
      </c>
      <c r="B46" s="2" t="s">
        <v>1227</v>
      </c>
      <c r="C46" s="3">
        <v>1</v>
      </c>
      <c r="D46" s="3">
        <v>0.82</v>
      </c>
      <c r="E46" s="3">
        <v>0.65</v>
      </c>
      <c r="F46" s="2" t="s">
        <v>2501</v>
      </c>
      <c r="G46" s="2" t="s">
        <v>2546</v>
      </c>
      <c r="H46" s="2" t="s">
        <v>2547</v>
      </c>
    </row>
    <row r="47" spans="1:8" ht="27.95" customHeight="1" x14ac:dyDescent="0.25">
      <c r="A47" s="2" t="s">
        <v>1325</v>
      </c>
      <c r="B47" s="2" t="s">
        <v>2548</v>
      </c>
      <c r="C47" s="3">
        <v>1</v>
      </c>
      <c r="D47" s="3">
        <v>0.82</v>
      </c>
      <c r="E47" s="3">
        <v>0.55000000000000004</v>
      </c>
      <c r="F47" s="2" t="s">
        <v>2501</v>
      </c>
      <c r="G47" s="2" t="s">
        <v>2546</v>
      </c>
      <c r="H47" s="2" t="s">
        <v>2549</v>
      </c>
    </row>
    <row r="48" spans="1:8" ht="27.95" customHeight="1" x14ac:dyDescent="0.25">
      <c r="A48" s="2" t="s">
        <v>37</v>
      </c>
      <c r="B48" s="2" t="s">
        <v>37</v>
      </c>
      <c r="C48" s="3">
        <v>0.85</v>
      </c>
      <c r="D48" s="3">
        <v>1</v>
      </c>
      <c r="E48" s="3">
        <v>0.8</v>
      </c>
      <c r="F48" s="2" t="s">
        <v>2516</v>
      </c>
      <c r="G48" s="2" t="s">
        <v>2546</v>
      </c>
      <c r="H48" s="2" t="s">
        <v>2547</v>
      </c>
    </row>
    <row r="49" spans="1:8" ht="27.95" customHeight="1" x14ac:dyDescent="0.25">
      <c r="A49" s="2" t="s">
        <v>28</v>
      </c>
      <c r="B49" s="2" t="s">
        <v>28</v>
      </c>
      <c r="C49" s="3">
        <v>0.85</v>
      </c>
      <c r="D49" s="3">
        <v>1</v>
      </c>
      <c r="E49" s="3">
        <v>0.9</v>
      </c>
      <c r="F49" s="2" t="s">
        <v>2516</v>
      </c>
      <c r="G49" s="2" t="s">
        <v>2546</v>
      </c>
      <c r="H49" s="2" t="s">
        <v>2547</v>
      </c>
    </row>
    <row r="50" spans="1:8" ht="27.95" customHeight="1" x14ac:dyDescent="0.25">
      <c r="A50" s="2" t="s">
        <v>862</v>
      </c>
      <c r="B50" s="2" t="s">
        <v>862</v>
      </c>
      <c r="C50" s="3">
        <v>1</v>
      </c>
      <c r="D50" s="3">
        <v>1</v>
      </c>
      <c r="E50" s="3">
        <v>0.8</v>
      </c>
      <c r="F50" s="2" t="s">
        <v>2501</v>
      </c>
      <c r="G50" s="2" t="s">
        <v>2546</v>
      </c>
      <c r="H50" s="2" t="s">
        <v>2547</v>
      </c>
    </row>
    <row r="51" spans="1:8" ht="27.95" customHeight="1" x14ac:dyDescent="0.25">
      <c r="A51" s="2" t="s">
        <v>304</v>
      </c>
      <c r="B51" s="2" t="s">
        <v>304</v>
      </c>
      <c r="C51" s="3">
        <v>0.95</v>
      </c>
      <c r="D51" s="3">
        <v>1</v>
      </c>
      <c r="E51" s="3">
        <v>0.8</v>
      </c>
      <c r="F51" s="2" t="s">
        <v>2516</v>
      </c>
      <c r="G51" s="2" t="s">
        <v>2546</v>
      </c>
      <c r="H51" s="2" t="s">
        <v>2547</v>
      </c>
    </row>
    <row r="52" spans="1:8" ht="27.95" customHeight="1" x14ac:dyDescent="0.25">
      <c r="A52" s="2" t="s">
        <v>309</v>
      </c>
      <c r="B52" s="2" t="s">
        <v>309</v>
      </c>
      <c r="C52" s="3">
        <v>0.95</v>
      </c>
      <c r="D52" s="3">
        <v>1</v>
      </c>
      <c r="E52" s="3">
        <v>0.9</v>
      </c>
      <c r="F52" s="2" t="s">
        <v>2516</v>
      </c>
      <c r="G52" s="2" t="s">
        <v>2546</v>
      </c>
      <c r="H52" s="2" t="s">
        <v>2547</v>
      </c>
    </row>
    <row r="53" spans="1:8" ht="27.95" customHeight="1" x14ac:dyDescent="0.25">
      <c r="A53" s="2" t="s">
        <v>299</v>
      </c>
      <c r="B53" s="2" t="s">
        <v>299</v>
      </c>
      <c r="C53" s="3">
        <v>0.85</v>
      </c>
      <c r="D53" s="3">
        <v>1</v>
      </c>
      <c r="E53" s="3">
        <v>0.86</v>
      </c>
      <c r="F53" s="2" t="s">
        <v>2516</v>
      </c>
      <c r="G53" s="2" t="s">
        <v>2546</v>
      </c>
      <c r="H53" s="2" t="s">
        <v>2547</v>
      </c>
    </row>
    <row r="54" spans="1:8" ht="27.95" customHeight="1" x14ac:dyDescent="0.25">
      <c r="A54" s="2" t="s">
        <v>949</v>
      </c>
      <c r="B54" s="2" t="s">
        <v>949</v>
      </c>
      <c r="C54" s="3">
        <v>0.85</v>
      </c>
      <c r="D54" s="3">
        <v>1</v>
      </c>
      <c r="E54" s="3">
        <v>0.86</v>
      </c>
      <c r="F54" s="2" t="s">
        <v>2516</v>
      </c>
      <c r="G54" s="2" t="s">
        <v>2546</v>
      </c>
      <c r="H54" s="2" t="s">
        <v>2547</v>
      </c>
    </row>
    <row r="55" spans="1:8" ht="27.95" customHeight="1" x14ac:dyDescent="0.25">
      <c r="A55" s="2" t="s">
        <v>258</v>
      </c>
      <c r="B55" s="2" t="s">
        <v>258</v>
      </c>
      <c r="C55" s="3">
        <v>0.85</v>
      </c>
      <c r="D55" s="3">
        <v>1</v>
      </c>
      <c r="E55" s="3">
        <v>0.95</v>
      </c>
      <c r="F55" s="2" t="s">
        <v>2516</v>
      </c>
      <c r="G55" s="2" t="s">
        <v>2546</v>
      </c>
      <c r="H55" s="2" t="s">
        <v>2547</v>
      </c>
    </row>
    <row r="56" spans="1:8" ht="27.95" customHeight="1" x14ac:dyDescent="0.25">
      <c r="A56" s="2" t="s">
        <v>137</v>
      </c>
      <c r="B56" s="2" t="s">
        <v>137</v>
      </c>
      <c r="C56" s="3">
        <v>0.95</v>
      </c>
      <c r="D56" s="3">
        <v>1</v>
      </c>
      <c r="E56" s="3">
        <v>0.7</v>
      </c>
      <c r="F56" s="2" t="s">
        <v>2516</v>
      </c>
      <c r="G56" s="2" t="s">
        <v>2546</v>
      </c>
      <c r="H56" s="2" t="s">
        <v>2547</v>
      </c>
    </row>
    <row r="57" spans="1:8" ht="27.95" customHeight="1" x14ac:dyDescent="0.25">
      <c r="A57" s="2" t="s">
        <v>1416</v>
      </c>
      <c r="B57" s="2" t="s">
        <v>1416</v>
      </c>
      <c r="C57" s="3">
        <v>1</v>
      </c>
      <c r="D57" s="3">
        <v>1</v>
      </c>
      <c r="E57" s="3">
        <v>0.7</v>
      </c>
      <c r="F57" s="2" t="s">
        <v>2501</v>
      </c>
      <c r="G57" s="2" t="s">
        <v>2546</v>
      </c>
      <c r="H57" s="2" t="s">
        <v>2547</v>
      </c>
    </row>
    <row r="58" spans="1:8" ht="27.95" customHeight="1" x14ac:dyDescent="0.25">
      <c r="A58" s="2" t="s">
        <v>122</v>
      </c>
      <c r="B58" s="2" t="s">
        <v>122</v>
      </c>
      <c r="C58" s="3">
        <v>0.95</v>
      </c>
      <c r="D58" s="3">
        <v>1</v>
      </c>
      <c r="E58" s="3">
        <v>0.8</v>
      </c>
      <c r="F58" s="2" t="s">
        <v>2516</v>
      </c>
      <c r="G58" s="2" t="s">
        <v>2546</v>
      </c>
      <c r="H58" s="2" t="s">
        <v>2547</v>
      </c>
    </row>
    <row r="59" spans="1:8" ht="27.95" customHeight="1" x14ac:dyDescent="0.25">
      <c r="A59" s="2" t="s">
        <v>1855</v>
      </c>
      <c r="B59" s="2" t="s">
        <v>1855</v>
      </c>
      <c r="C59" s="3">
        <v>0.95</v>
      </c>
      <c r="D59" s="3">
        <v>1</v>
      </c>
      <c r="E59" s="3">
        <v>0.7</v>
      </c>
      <c r="F59" s="2" t="s">
        <v>2516</v>
      </c>
      <c r="G59" s="2" t="s">
        <v>2546</v>
      </c>
      <c r="H59" s="2" t="s">
        <v>2547</v>
      </c>
    </row>
    <row r="60" spans="1:8" ht="27.95" customHeight="1" x14ac:dyDescent="0.25">
      <c r="A60" s="2" t="s">
        <v>380</v>
      </c>
      <c r="B60" s="2" t="s">
        <v>380</v>
      </c>
      <c r="C60" s="3">
        <v>0.57999999999999996</v>
      </c>
      <c r="D60" s="3">
        <v>0.78</v>
      </c>
      <c r="E60" s="3">
        <v>1</v>
      </c>
      <c r="F60" s="2" t="s">
        <v>18</v>
      </c>
      <c r="G60" s="2" t="s">
        <v>2546</v>
      </c>
      <c r="H60" s="2" t="s">
        <v>2547</v>
      </c>
    </row>
    <row r="61" spans="1:8" ht="27.95" customHeight="1" x14ac:dyDescent="0.25">
      <c r="A61" s="2" t="s">
        <v>847</v>
      </c>
      <c r="B61" s="2" t="s">
        <v>847</v>
      </c>
      <c r="C61" s="3">
        <v>0.65</v>
      </c>
      <c r="D61" s="3">
        <v>0.94</v>
      </c>
      <c r="E61" s="3">
        <v>1</v>
      </c>
      <c r="F61" s="2" t="s">
        <v>18</v>
      </c>
      <c r="G61" s="2" t="s">
        <v>2546</v>
      </c>
      <c r="H61" s="2" t="s">
        <v>2547</v>
      </c>
    </row>
    <row r="62" spans="1:8" ht="27.95" customHeight="1" x14ac:dyDescent="0.25">
      <c r="A62" s="2" t="s">
        <v>914</v>
      </c>
      <c r="B62" s="2" t="s">
        <v>914</v>
      </c>
      <c r="C62" s="3">
        <v>0.65</v>
      </c>
      <c r="D62" s="3">
        <v>0.82</v>
      </c>
      <c r="E62" s="3">
        <v>1</v>
      </c>
      <c r="F62" s="2" t="s">
        <v>18</v>
      </c>
      <c r="G62" s="2" t="s">
        <v>2546</v>
      </c>
      <c r="H62" s="2" t="s">
        <v>2547</v>
      </c>
    </row>
    <row r="63" spans="1:8" ht="27.95" customHeight="1" x14ac:dyDescent="0.25">
      <c r="A63" s="2" t="s">
        <v>959</v>
      </c>
      <c r="B63" s="2" t="s">
        <v>959</v>
      </c>
      <c r="C63" s="3">
        <v>0.65</v>
      </c>
      <c r="D63" s="3">
        <v>0.82</v>
      </c>
      <c r="E63" s="3">
        <v>1</v>
      </c>
      <c r="F63" s="2" t="s">
        <v>18</v>
      </c>
      <c r="G63" s="2" t="s">
        <v>2546</v>
      </c>
      <c r="H63" s="2" t="s">
        <v>2547</v>
      </c>
    </row>
    <row r="64" spans="1:8" ht="27.95" customHeight="1" x14ac:dyDescent="0.25">
      <c r="A64" s="2" t="s">
        <v>96</v>
      </c>
      <c r="B64" s="2" t="s">
        <v>96</v>
      </c>
      <c r="C64" s="3">
        <v>0</v>
      </c>
      <c r="D64" s="3">
        <v>0</v>
      </c>
      <c r="E64" s="3">
        <v>0</v>
      </c>
      <c r="F64" s="2" t="s">
        <v>2498</v>
      </c>
      <c r="G64" s="2" t="s">
        <v>2550</v>
      </c>
      <c r="H64" s="2" t="s">
        <v>2551</v>
      </c>
    </row>
    <row r="65" spans="1:8" ht="27.95" customHeight="1" x14ac:dyDescent="0.25">
      <c r="A65" s="2" t="s">
        <v>113</v>
      </c>
      <c r="B65" s="2" t="s">
        <v>113</v>
      </c>
      <c r="C65" s="3">
        <v>1</v>
      </c>
      <c r="D65" s="3">
        <v>0.82</v>
      </c>
      <c r="E65" s="3">
        <v>0.65</v>
      </c>
      <c r="F65" s="2" t="s">
        <v>2501</v>
      </c>
      <c r="G65" s="2" t="s">
        <v>2546</v>
      </c>
      <c r="H65" s="2" t="s">
        <v>2547</v>
      </c>
    </row>
    <row r="66" spans="1:8" ht="27.95" customHeight="1" x14ac:dyDescent="0.25">
      <c r="A66" s="2" t="s">
        <v>1066</v>
      </c>
      <c r="B66" s="2" t="s">
        <v>1066</v>
      </c>
      <c r="C66" s="3">
        <v>1</v>
      </c>
      <c r="D66" s="3">
        <v>0.82</v>
      </c>
      <c r="E66" s="3">
        <v>0.65</v>
      </c>
      <c r="F66" s="2" t="s">
        <v>2501</v>
      </c>
      <c r="G66" s="2" t="s">
        <v>2546</v>
      </c>
      <c r="H66" s="2" t="s">
        <v>2547</v>
      </c>
    </row>
    <row r="67" spans="1:8" ht="27.95" customHeight="1" x14ac:dyDescent="0.25">
      <c r="A67" s="2" t="s">
        <v>1193</v>
      </c>
      <c r="B67" s="2" t="s">
        <v>1193</v>
      </c>
      <c r="C67" s="3">
        <v>1</v>
      </c>
      <c r="D67" s="3">
        <v>0.92</v>
      </c>
      <c r="E67" s="3">
        <v>0.86</v>
      </c>
      <c r="F67" s="2" t="s">
        <v>2501</v>
      </c>
      <c r="G67" s="2" t="s">
        <v>2546</v>
      </c>
      <c r="H67" s="2" t="s">
        <v>2547</v>
      </c>
    </row>
    <row r="68" spans="1:8" ht="27.95" customHeight="1" x14ac:dyDescent="0.25">
      <c r="A68" s="2" t="s">
        <v>1632</v>
      </c>
      <c r="B68" s="2" t="s">
        <v>1632</v>
      </c>
      <c r="C68" s="3">
        <v>1</v>
      </c>
      <c r="D68" s="3">
        <v>0.86</v>
      </c>
      <c r="E68" s="3">
        <v>0.72</v>
      </c>
      <c r="F68" s="2" t="s">
        <v>2501</v>
      </c>
      <c r="G68" s="2" t="s">
        <v>2546</v>
      </c>
      <c r="H68" s="2" t="s">
        <v>2547</v>
      </c>
    </row>
    <row r="69" spans="1:8" ht="27.95" customHeight="1" x14ac:dyDescent="0.25">
      <c r="A69" s="2" t="s">
        <v>361</v>
      </c>
      <c r="B69" s="2" t="s">
        <v>361</v>
      </c>
      <c r="C69" s="3">
        <v>1</v>
      </c>
      <c r="D69" s="3">
        <v>0.82</v>
      </c>
      <c r="E69" s="3">
        <v>0.65</v>
      </c>
      <c r="F69" s="2" t="s">
        <v>2501</v>
      </c>
      <c r="G69" s="2" t="s">
        <v>2546</v>
      </c>
      <c r="H69" s="2" t="s">
        <v>2547</v>
      </c>
    </row>
    <row r="70" spans="1:8" ht="27.95" customHeight="1" x14ac:dyDescent="0.25">
      <c r="A70" s="2" t="s">
        <v>741</v>
      </c>
      <c r="B70" s="2" t="s">
        <v>741</v>
      </c>
      <c r="C70" s="3">
        <v>0.75</v>
      </c>
      <c r="D70" s="3">
        <v>1</v>
      </c>
      <c r="E70" s="3">
        <v>0.86</v>
      </c>
      <c r="F70" s="2" t="s">
        <v>2516</v>
      </c>
      <c r="G70" s="2" t="s">
        <v>2546</v>
      </c>
      <c r="H70" s="2" t="s">
        <v>2547</v>
      </c>
    </row>
    <row r="71" spans="1:8" ht="27.95" customHeight="1" x14ac:dyDescent="0.25">
      <c r="A71" s="2" t="s">
        <v>1819</v>
      </c>
      <c r="B71" s="2" t="s">
        <v>1819</v>
      </c>
      <c r="C71" s="3">
        <v>0.75</v>
      </c>
      <c r="D71" s="3">
        <v>1</v>
      </c>
      <c r="E71" s="3">
        <v>0.9</v>
      </c>
      <c r="F71" s="2" t="s">
        <v>2516</v>
      </c>
      <c r="G71" s="2" t="s">
        <v>2546</v>
      </c>
      <c r="H71" s="2" t="s">
        <v>2547</v>
      </c>
    </row>
    <row r="72" spans="1:8" ht="27.95" customHeight="1" x14ac:dyDescent="0.25">
      <c r="A72" s="2" t="s">
        <v>1023</v>
      </c>
      <c r="B72" s="2" t="s">
        <v>1023</v>
      </c>
      <c r="C72" s="3">
        <v>0.85</v>
      </c>
      <c r="D72" s="3">
        <v>1</v>
      </c>
      <c r="E72" s="3">
        <v>0.86</v>
      </c>
      <c r="F72" s="2" t="s">
        <v>2516</v>
      </c>
      <c r="G72" s="2" t="s">
        <v>2546</v>
      </c>
      <c r="H72" s="2" t="s">
        <v>2547</v>
      </c>
    </row>
    <row r="73" spans="1:8" ht="27.95" customHeight="1" x14ac:dyDescent="0.25">
      <c r="A73" s="2" t="s">
        <v>2025</v>
      </c>
      <c r="B73" s="2" t="s">
        <v>2025</v>
      </c>
      <c r="C73" s="3">
        <v>0.75</v>
      </c>
      <c r="D73" s="3">
        <v>0.92</v>
      </c>
      <c r="E73" s="3">
        <v>1</v>
      </c>
      <c r="F73" s="2" t="s">
        <v>18</v>
      </c>
      <c r="G73" s="2" t="s">
        <v>2546</v>
      </c>
      <c r="H73" s="2" t="s">
        <v>2547</v>
      </c>
    </row>
    <row r="74" spans="1:8" ht="27.95" customHeight="1" x14ac:dyDescent="0.25">
      <c r="A74" s="2" t="s">
        <v>105</v>
      </c>
      <c r="B74" s="2" t="s">
        <v>105</v>
      </c>
      <c r="C74" s="3">
        <v>0.65</v>
      </c>
      <c r="D74" s="3">
        <v>0.82</v>
      </c>
      <c r="E74" s="3">
        <v>1</v>
      </c>
      <c r="F74" s="2" t="s">
        <v>18</v>
      </c>
      <c r="G74" s="2" t="s">
        <v>2546</v>
      </c>
      <c r="H74" s="2" t="s">
        <v>2547</v>
      </c>
    </row>
    <row r="75" spans="1:8" ht="27.95" customHeight="1" x14ac:dyDescent="0.25">
      <c r="A75" s="2" t="s">
        <v>164</v>
      </c>
      <c r="B75" s="2" t="s">
        <v>164</v>
      </c>
      <c r="C75" s="3">
        <v>0.65</v>
      </c>
      <c r="D75" s="3">
        <v>0.94</v>
      </c>
      <c r="E75" s="3">
        <v>1</v>
      </c>
      <c r="F75" s="2" t="s">
        <v>18</v>
      </c>
      <c r="G75" s="2" t="s">
        <v>2546</v>
      </c>
      <c r="H75" s="2" t="s">
        <v>2547</v>
      </c>
    </row>
    <row r="76" spans="1:8" ht="27.95" customHeight="1" x14ac:dyDescent="0.25">
      <c r="A76" s="2" t="s">
        <v>101</v>
      </c>
      <c r="B76" s="2" t="s">
        <v>101</v>
      </c>
      <c r="C76" s="3">
        <v>0.85</v>
      </c>
      <c r="D76" s="3">
        <v>1</v>
      </c>
      <c r="E76" s="3">
        <v>0.95</v>
      </c>
      <c r="F76" s="2" t="s">
        <v>2516</v>
      </c>
      <c r="G76" s="2" t="s">
        <v>2546</v>
      </c>
      <c r="H76" s="2" t="s">
        <v>2547</v>
      </c>
    </row>
    <row r="77" spans="1:8" ht="27.95" customHeight="1" x14ac:dyDescent="0.25">
      <c r="A77" s="2" t="s">
        <v>1123</v>
      </c>
      <c r="B77" s="2" t="s">
        <v>1123</v>
      </c>
      <c r="C77" s="3">
        <v>0.65</v>
      </c>
      <c r="D77" s="3">
        <v>0.82</v>
      </c>
      <c r="E77" s="3">
        <v>1</v>
      </c>
      <c r="F77" s="2" t="s">
        <v>18</v>
      </c>
      <c r="G77" s="2" t="s">
        <v>2546</v>
      </c>
      <c r="H77" s="2" t="s">
        <v>2547</v>
      </c>
    </row>
    <row r="78" spans="1:8" ht="27.95" customHeight="1" x14ac:dyDescent="0.25">
      <c r="A78" s="2" t="s">
        <v>1553</v>
      </c>
      <c r="B78" s="2" t="s">
        <v>1553</v>
      </c>
      <c r="C78" s="3">
        <v>0.75</v>
      </c>
      <c r="D78" s="3">
        <v>0.92</v>
      </c>
      <c r="E78" s="3">
        <v>1</v>
      </c>
      <c r="F78" s="2" t="s">
        <v>18</v>
      </c>
      <c r="G78" s="2" t="s">
        <v>2546</v>
      </c>
      <c r="H78" s="2" t="s">
        <v>2547</v>
      </c>
    </row>
    <row r="79" spans="1:8" ht="27.95" customHeight="1" x14ac:dyDescent="0.25">
      <c r="A79" s="2" t="s">
        <v>172</v>
      </c>
      <c r="B79" s="2" t="s">
        <v>172</v>
      </c>
      <c r="C79" s="3">
        <v>0.65</v>
      </c>
      <c r="D79" s="3">
        <v>0.82</v>
      </c>
      <c r="E79" s="3">
        <v>1</v>
      </c>
      <c r="F79" s="2" t="s">
        <v>18</v>
      </c>
      <c r="G79" s="2" t="s">
        <v>2546</v>
      </c>
      <c r="H79" s="2" t="s">
        <v>2547</v>
      </c>
    </row>
    <row r="80" spans="1:8" ht="27.95" customHeight="1" x14ac:dyDescent="0.25">
      <c r="A80" s="2" t="s">
        <v>176</v>
      </c>
      <c r="B80" s="2" t="s">
        <v>176</v>
      </c>
      <c r="C80" s="3">
        <v>0.65</v>
      </c>
      <c r="D80" s="3">
        <v>0.82</v>
      </c>
      <c r="E80" s="3">
        <v>1</v>
      </c>
      <c r="F80" s="2" t="s">
        <v>18</v>
      </c>
      <c r="G80" s="2" t="s">
        <v>2546</v>
      </c>
      <c r="H80" s="2" t="s">
        <v>2547</v>
      </c>
    </row>
    <row r="81" spans="1:8" ht="27.95" customHeight="1" x14ac:dyDescent="0.25">
      <c r="A81" s="2" t="s">
        <v>225</v>
      </c>
      <c r="B81" s="2" t="s">
        <v>225</v>
      </c>
      <c r="C81" s="3">
        <v>1</v>
      </c>
      <c r="D81" s="3">
        <v>0.82</v>
      </c>
      <c r="E81" s="3">
        <v>0.65</v>
      </c>
      <c r="F81" s="2" t="s">
        <v>2501</v>
      </c>
      <c r="G81" s="2" t="s">
        <v>2546</v>
      </c>
      <c r="H81" s="2" t="s">
        <v>2547</v>
      </c>
    </row>
    <row r="82" spans="1:8" ht="27.95" customHeight="1" x14ac:dyDescent="0.25">
      <c r="A82" s="2" t="s">
        <v>357</v>
      </c>
      <c r="B82" s="2" t="s">
        <v>357</v>
      </c>
      <c r="C82" s="3">
        <v>1</v>
      </c>
      <c r="D82" s="3">
        <v>0.82</v>
      </c>
      <c r="E82" s="3">
        <v>0.65</v>
      </c>
      <c r="F82" s="2" t="s">
        <v>2501</v>
      </c>
      <c r="G82" s="2" t="s">
        <v>2546</v>
      </c>
      <c r="H82" s="2" t="s">
        <v>2547</v>
      </c>
    </row>
    <row r="83" spans="1:8" ht="27.95" customHeight="1" x14ac:dyDescent="0.25">
      <c r="A83" s="2" t="s">
        <v>262</v>
      </c>
      <c r="B83" s="2" t="s">
        <v>262</v>
      </c>
      <c r="C83" s="3">
        <v>0.95</v>
      </c>
      <c r="D83" s="3">
        <v>1</v>
      </c>
      <c r="E83" s="3">
        <v>0.8</v>
      </c>
      <c r="F83" s="2" t="s">
        <v>2516</v>
      </c>
      <c r="G83" s="2" t="s">
        <v>2546</v>
      </c>
      <c r="H83" s="2" t="s">
        <v>2547</v>
      </c>
    </row>
    <row r="84" spans="1:8" ht="27.95" customHeight="1" x14ac:dyDescent="0.25">
      <c r="A84" s="2" t="s">
        <v>1288</v>
      </c>
      <c r="B84" s="2" t="s">
        <v>1288</v>
      </c>
      <c r="C84" s="3">
        <v>0.95</v>
      </c>
      <c r="D84" s="3">
        <v>1</v>
      </c>
      <c r="E84" s="3">
        <v>0.7</v>
      </c>
      <c r="F84" s="2" t="s">
        <v>2516</v>
      </c>
      <c r="G84" s="2" t="s">
        <v>2546</v>
      </c>
      <c r="H84" s="2" t="s">
        <v>2547</v>
      </c>
    </row>
    <row r="85" spans="1:8" ht="27.95" customHeight="1" x14ac:dyDescent="0.25">
      <c r="A85" s="2" t="s">
        <v>1224</v>
      </c>
      <c r="B85" s="2" t="s">
        <v>1224</v>
      </c>
      <c r="C85" s="3">
        <v>1</v>
      </c>
      <c r="D85" s="3">
        <v>0.82</v>
      </c>
      <c r="E85" s="3">
        <v>0.65</v>
      </c>
      <c r="F85" s="2" t="s">
        <v>2501</v>
      </c>
      <c r="G85" s="2" t="s">
        <v>2546</v>
      </c>
      <c r="H85" s="2" t="s">
        <v>2547</v>
      </c>
    </row>
    <row r="86" spans="1:8" ht="27.95" customHeight="1" x14ac:dyDescent="0.25">
      <c r="A86" s="2" t="s">
        <v>1074</v>
      </c>
      <c r="B86" s="2" t="s">
        <v>1074</v>
      </c>
      <c r="C86" s="3">
        <v>0.95</v>
      </c>
      <c r="D86" s="3">
        <v>0.82</v>
      </c>
      <c r="E86" s="3">
        <v>0.95</v>
      </c>
      <c r="F86" s="2" t="s">
        <v>2501</v>
      </c>
      <c r="G86" s="2" t="s">
        <v>2546</v>
      </c>
      <c r="H86" s="2" t="s">
        <v>2547</v>
      </c>
    </row>
    <row r="87" spans="1:8" ht="27.95" customHeight="1" x14ac:dyDescent="0.25">
      <c r="A87" s="2" t="s">
        <v>180</v>
      </c>
      <c r="B87" s="2" t="s">
        <v>180</v>
      </c>
      <c r="C87" s="3">
        <v>0.75</v>
      </c>
      <c r="D87" s="3">
        <v>1</v>
      </c>
      <c r="E87" s="3">
        <v>0.86</v>
      </c>
      <c r="F87" s="2" t="s">
        <v>2516</v>
      </c>
      <c r="G87" s="2" t="s">
        <v>2546</v>
      </c>
      <c r="H87" s="2" t="s">
        <v>2547</v>
      </c>
    </row>
    <row r="88" spans="1:8" ht="27.95" customHeight="1" x14ac:dyDescent="0.25">
      <c r="A88" s="2" t="s">
        <v>526</v>
      </c>
      <c r="B88" s="2" t="s">
        <v>526</v>
      </c>
      <c r="C88" s="3">
        <v>0.75</v>
      </c>
      <c r="D88" s="3">
        <v>1</v>
      </c>
      <c r="E88" s="3">
        <v>0.9</v>
      </c>
      <c r="F88" s="2" t="s">
        <v>2516</v>
      </c>
      <c r="G88" s="2" t="s">
        <v>2546</v>
      </c>
      <c r="H88" s="2" t="s">
        <v>2547</v>
      </c>
    </row>
    <row r="89" spans="1:8" ht="27.95" customHeight="1" x14ac:dyDescent="0.25">
      <c r="A89" s="2" t="s">
        <v>1499</v>
      </c>
      <c r="B89" s="2" t="s">
        <v>1499</v>
      </c>
      <c r="C89" s="3">
        <v>0.75</v>
      </c>
      <c r="D89" s="3">
        <v>0.92</v>
      </c>
      <c r="E89" s="3">
        <v>1</v>
      </c>
      <c r="F89" s="2" t="s">
        <v>18</v>
      </c>
      <c r="G89" s="2" t="s">
        <v>2546</v>
      </c>
      <c r="H89" s="2" t="s">
        <v>2547</v>
      </c>
    </row>
    <row r="90" spans="1:8" ht="27.95" customHeight="1" x14ac:dyDescent="0.25">
      <c r="A90" s="2" t="s">
        <v>23</v>
      </c>
      <c r="B90" s="2" t="s">
        <v>23</v>
      </c>
      <c r="C90" s="3">
        <v>0.65</v>
      </c>
      <c r="D90" s="3">
        <v>0.82</v>
      </c>
      <c r="E90" s="3">
        <v>1</v>
      </c>
      <c r="F90" s="2" t="s">
        <v>18</v>
      </c>
      <c r="G90" s="2" t="s">
        <v>2546</v>
      </c>
      <c r="H90" s="2" t="s">
        <v>2547</v>
      </c>
    </row>
    <row r="91" spans="1:8" ht="27.95" customHeight="1" x14ac:dyDescent="0.25">
      <c r="A91" s="2" t="s">
        <v>752</v>
      </c>
      <c r="B91" s="2" t="s">
        <v>752</v>
      </c>
      <c r="C91" s="3">
        <v>0.65</v>
      </c>
      <c r="D91" s="3">
        <v>0.94</v>
      </c>
      <c r="E91" s="3">
        <v>1</v>
      </c>
      <c r="F91" s="2" t="s">
        <v>18</v>
      </c>
      <c r="G91" s="2" t="s">
        <v>2546</v>
      </c>
      <c r="H91" s="2" t="s">
        <v>2547</v>
      </c>
    </row>
    <row r="92" spans="1:8" ht="27.95" customHeight="1" x14ac:dyDescent="0.25">
      <c r="A92" s="2" t="s">
        <v>1092</v>
      </c>
      <c r="B92" s="2" t="s">
        <v>1092</v>
      </c>
      <c r="C92" s="3">
        <v>0.65</v>
      </c>
      <c r="D92" s="3">
        <v>0.82</v>
      </c>
      <c r="E92" s="3">
        <v>1</v>
      </c>
      <c r="F92" s="2" t="s">
        <v>18</v>
      </c>
      <c r="G92" s="2" t="s">
        <v>2546</v>
      </c>
      <c r="H92" s="2" t="s">
        <v>2547</v>
      </c>
    </row>
    <row r="93" spans="1:8" ht="27.95" customHeight="1" x14ac:dyDescent="0.25">
      <c r="A93" s="2" t="s">
        <v>1349</v>
      </c>
      <c r="B93" s="2" t="s">
        <v>1349</v>
      </c>
      <c r="C93" s="3">
        <v>0.75</v>
      </c>
      <c r="D93" s="3">
        <v>0.92</v>
      </c>
      <c r="E93" s="3">
        <v>1</v>
      </c>
      <c r="F93" s="2" t="s">
        <v>18</v>
      </c>
      <c r="G93" s="2" t="s">
        <v>2546</v>
      </c>
      <c r="H93" s="2" t="s">
        <v>2547</v>
      </c>
    </row>
    <row r="94" spans="1:8" ht="27.95" customHeight="1" x14ac:dyDescent="0.25">
      <c r="A94" s="2" t="s">
        <v>286</v>
      </c>
      <c r="B94" s="2" t="s">
        <v>286</v>
      </c>
      <c r="C94" s="3">
        <v>0.65</v>
      </c>
      <c r="D94" s="3">
        <v>0.82</v>
      </c>
      <c r="E94" s="3">
        <v>1</v>
      </c>
      <c r="F94" s="2" t="s">
        <v>18</v>
      </c>
      <c r="G94" s="2" t="s">
        <v>2546</v>
      </c>
      <c r="H94" s="2" t="s">
        <v>2547</v>
      </c>
    </row>
    <row r="95" spans="1:8" ht="27.95" customHeight="1" x14ac:dyDescent="0.25">
      <c r="A95" s="2" t="s">
        <v>42</v>
      </c>
      <c r="B95" s="2" t="s">
        <v>42</v>
      </c>
      <c r="C95" s="3">
        <v>0.65</v>
      </c>
      <c r="D95" s="3">
        <v>0.82</v>
      </c>
      <c r="E95" s="3">
        <v>1</v>
      </c>
      <c r="F95" s="2" t="s">
        <v>18</v>
      </c>
      <c r="G95" s="2" t="s">
        <v>2546</v>
      </c>
      <c r="H95" s="2" t="s">
        <v>2547</v>
      </c>
    </row>
    <row r="96" spans="1:8" ht="27.95" customHeight="1" x14ac:dyDescent="0.25">
      <c r="A96" s="2" t="s">
        <v>549</v>
      </c>
      <c r="B96" s="2" t="s">
        <v>549</v>
      </c>
      <c r="C96" s="3">
        <v>0.95</v>
      </c>
      <c r="D96" s="3">
        <v>0.82</v>
      </c>
      <c r="E96" s="3">
        <v>0.95</v>
      </c>
      <c r="F96" s="2" t="s">
        <v>2501</v>
      </c>
      <c r="G96" s="2" t="s">
        <v>2546</v>
      </c>
      <c r="H96" s="2" t="s">
        <v>2547</v>
      </c>
    </row>
    <row r="97" spans="1:8" ht="27.95" customHeight="1" x14ac:dyDescent="0.25">
      <c r="A97" s="2" t="s">
        <v>1146</v>
      </c>
      <c r="B97" s="2" t="s">
        <v>1146</v>
      </c>
      <c r="C97" s="3">
        <v>0.65</v>
      </c>
      <c r="D97" s="3">
        <v>0.82</v>
      </c>
      <c r="E97" s="3">
        <v>1</v>
      </c>
      <c r="F97" s="2" t="s">
        <v>18</v>
      </c>
      <c r="G97" s="2" t="s">
        <v>2546</v>
      </c>
      <c r="H97" s="2" t="s">
        <v>2547</v>
      </c>
    </row>
    <row r="98" spans="1:8" ht="27.95" customHeight="1" x14ac:dyDescent="0.25">
      <c r="A98" s="2" t="s">
        <v>67</v>
      </c>
      <c r="B98" s="2" t="s">
        <v>67</v>
      </c>
      <c r="C98" s="3">
        <v>0.57999999999999996</v>
      </c>
      <c r="D98" s="3">
        <v>0.84</v>
      </c>
      <c r="E98" s="3">
        <v>1</v>
      </c>
      <c r="F98" s="2" t="s">
        <v>18</v>
      </c>
      <c r="G98" s="2" t="s">
        <v>2546</v>
      </c>
      <c r="H98" s="2" t="s">
        <v>2547</v>
      </c>
    </row>
    <row r="99" spans="1:8" ht="27.95" customHeight="1" x14ac:dyDescent="0.25">
      <c r="A99" s="2" t="s">
        <v>84</v>
      </c>
      <c r="B99" s="2" t="s">
        <v>84</v>
      </c>
      <c r="C99" s="3">
        <v>0.65</v>
      </c>
      <c r="D99" s="3">
        <v>0.94</v>
      </c>
      <c r="E99" s="3">
        <v>1</v>
      </c>
      <c r="F99" s="2" t="s">
        <v>18</v>
      </c>
      <c r="G99" s="2" t="s">
        <v>2546</v>
      </c>
      <c r="H99" s="2" t="s">
        <v>2547</v>
      </c>
    </row>
    <row r="100" spans="1:8" ht="27.95" customHeight="1" x14ac:dyDescent="0.25">
      <c r="A100" s="2" t="s">
        <v>804</v>
      </c>
      <c r="B100" s="2" t="s">
        <v>804</v>
      </c>
      <c r="C100" s="3">
        <v>0.57999999999999996</v>
      </c>
      <c r="D100" s="3">
        <v>0.84</v>
      </c>
      <c r="E100" s="3">
        <v>1</v>
      </c>
      <c r="F100" s="2" t="s">
        <v>18</v>
      </c>
      <c r="G100" s="2" t="s">
        <v>2546</v>
      </c>
      <c r="H100" s="2" t="s">
        <v>2547</v>
      </c>
    </row>
    <row r="101" spans="1:8" ht="27.95" customHeight="1" x14ac:dyDescent="0.25">
      <c r="A101" s="2" t="s">
        <v>885</v>
      </c>
      <c r="B101" s="2" t="s">
        <v>885</v>
      </c>
      <c r="C101" s="3">
        <v>0.57999999999999996</v>
      </c>
      <c r="D101" s="3">
        <v>0.84</v>
      </c>
      <c r="E101" s="3">
        <v>0.98</v>
      </c>
      <c r="F101" s="2" t="s">
        <v>18</v>
      </c>
      <c r="G101" s="2" t="s">
        <v>2546</v>
      </c>
      <c r="H101" s="2" t="s">
        <v>2547</v>
      </c>
    </row>
    <row r="102" spans="1:8" ht="27.95" customHeight="1" x14ac:dyDescent="0.25">
      <c r="A102" s="2" t="s">
        <v>1249</v>
      </c>
      <c r="B102" s="2" t="s">
        <v>1249</v>
      </c>
      <c r="C102" s="3">
        <v>0.57999999999999996</v>
      </c>
      <c r="D102" s="3">
        <v>0.84</v>
      </c>
      <c r="E102" s="3">
        <v>1</v>
      </c>
      <c r="F102" s="2" t="s">
        <v>18</v>
      </c>
      <c r="G102" s="2" t="s">
        <v>2546</v>
      </c>
      <c r="H102" s="2" t="s">
        <v>2547</v>
      </c>
    </row>
    <row r="103" spans="1:8" ht="27.95" customHeight="1" x14ac:dyDescent="0.25">
      <c r="A103" s="2" t="s">
        <v>18</v>
      </c>
      <c r="B103" s="2" t="s">
        <v>18</v>
      </c>
      <c r="C103" s="3">
        <v>0.55000000000000004</v>
      </c>
      <c r="D103" s="3">
        <v>0.75</v>
      </c>
      <c r="E103" s="3">
        <v>1</v>
      </c>
      <c r="F103" s="2" t="s">
        <v>18</v>
      </c>
      <c r="G103" s="2" t="s">
        <v>2546</v>
      </c>
      <c r="H103" s="2" t="s">
        <v>2547</v>
      </c>
    </row>
    <row r="104" spans="1:8" ht="27.95" customHeight="1" x14ac:dyDescent="0.25">
      <c r="A104" s="2" t="s">
        <v>463</v>
      </c>
      <c r="B104" s="2" t="s">
        <v>463</v>
      </c>
      <c r="C104" s="3">
        <v>1</v>
      </c>
      <c r="D104" s="3">
        <v>0.82</v>
      </c>
      <c r="E104" s="3">
        <v>1</v>
      </c>
      <c r="F104" s="2" t="s">
        <v>2501</v>
      </c>
      <c r="G104" s="2" t="s">
        <v>2546</v>
      </c>
      <c r="H104" s="2" t="s">
        <v>2547</v>
      </c>
    </row>
    <row r="105" spans="1:8" ht="27.95" customHeight="1" x14ac:dyDescent="0.25">
      <c r="A105" s="2" t="s">
        <v>635</v>
      </c>
      <c r="B105" s="2" t="s">
        <v>635</v>
      </c>
      <c r="C105" s="3">
        <v>0.85</v>
      </c>
      <c r="D105" s="3">
        <v>1</v>
      </c>
      <c r="E105" s="3">
        <v>1</v>
      </c>
      <c r="F105" s="2" t="s">
        <v>2516</v>
      </c>
      <c r="G105" s="2" t="s">
        <v>2546</v>
      </c>
      <c r="H105" s="2" t="s">
        <v>2547</v>
      </c>
    </row>
    <row r="106" spans="1:8" ht="27.95" customHeight="1" x14ac:dyDescent="0.25">
      <c r="A106" s="2" t="s">
        <v>1010</v>
      </c>
      <c r="B106" s="2" t="s">
        <v>1010</v>
      </c>
      <c r="C106" s="3">
        <v>0.57999999999999996</v>
      </c>
      <c r="D106" s="3">
        <v>0.78</v>
      </c>
      <c r="E106" s="3">
        <v>1</v>
      </c>
      <c r="F106" s="2" t="s">
        <v>18</v>
      </c>
      <c r="G106" s="2" t="s">
        <v>2546</v>
      </c>
      <c r="H106" s="2" t="s">
        <v>2547</v>
      </c>
    </row>
    <row r="107" spans="1:8" ht="27.95" customHeight="1" x14ac:dyDescent="0.25">
      <c r="A107" s="2" t="s">
        <v>12</v>
      </c>
      <c r="B107" s="2" t="s">
        <v>12</v>
      </c>
      <c r="C107" s="3">
        <v>0.65</v>
      </c>
      <c r="D107" s="3">
        <v>0.82</v>
      </c>
      <c r="E107" s="3">
        <v>1</v>
      </c>
      <c r="F107" s="2" t="s">
        <v>18</v>
      </c>
      <c r="G107" s="2" t="s">
        <v>2546</v>
      </c>
      <c r="H107" s="2" t="s">
        <v>2547</v>
      </c>
    </row>
    <row r="108" spans="1:8" ht="27.95" customHeight="1" x14ac:dyDescent="0.25">
      <c r="A108" s="2" t="s">
        <v>514</v>
      </c>
      <c r="B108" s="2" t="s">
        <v>514</v>
      </c>
      <c r="C108" s="3">
        <v>0.65</v>
      </c>
      <c r="D108" s="3">
        <v>0.82</v>
      </c>
      <c r="E108" s="3">
        <v>1</v>
      </c>
      <c r="F108" s="2" t="s">
        <v>18</v>
      </c>
      <c r="G108" s="2" t="s">
        <v>2546</v>
      </c>
      <c r="H108" s="2" t="s">
        <v>2547</v>
      </c>
    </row>
    <row r="109" spans="1:8" ht="27.95" customHeight="1" x14ac:dyDescent="0.25">
      <c r="A109" s="2" t="s">
        <v>197</v>
      </c>
      <c r="B109" s="2" t="s">
        <v>197</v>
      </c>
      <c r="C109" s="3">
        <v>0.57999999999999996</v>
      </c>
      <c r="D109" s="3">
        <v>0.84</v>
      </c>
      <c r="E109" s="3">
        <v>1</v>
      </c>
      <c r="F109" s="2" t="s">
        <v>18</v>
      </c>
      <c r="G109" s="2" t="s">
        <v>2546</v>
      </c>
      <c r="H109" s="2" t="s">
        <v>2547</v>
      </c>
    </row>
    <row r="110" spans="1:8" ht="27.95" customHeight="1" x14ac:dyDescent="0.25">
      <c r="A110" s="2" t="s">
        <v>32</v>
      </c>
      <c r="B110" s="2" t="s">
        <v>32</v>
      </c>
      <c r="C110" s="3">
        <v>0.65</v>
      </c>
      <c r="D110" s="3">
        <v>0.94</v>
      </c>
      <c r="E110" s="3">
        <v>1</v>
      </c>
      <c r="F110" s="2" t="s">
        <v>18</v>
      </c>
      <c r="G110" s="2" t="s">
        <v>2546</v>
      </c>
      <c r="H110" s="2" t="s">
        <v>2547</v>
      </c>
    </row>
  </sheetData>
  <mergeCells count="6">
    <mergeCell ref="A31:H31"/>
    <mergeCell ref="B4:H4"/>
    <mergeCell ref="B2:H2"/>
    <mergeCell ref="A1:H1"/>
    <mergeCell ref="B3:H3"/>
    <mergeCell ref="B5:H5"/>
  </mergeCells>
  <conditionalFormatting sqref="C8:E29">
    <cfRule type="colorScale" priority="1">
      <colorScale>
        <cfvo type="num" val="0"/>
        <cfvo type="num" val="0.8"/>
        <cfvo type="num" val="1"/>
        <color rgb="FFF8696B"/>
        <color rgb="FFFFEB84"/>
        <color rgb="FF63BE7B"/>
      </colorScale>
    </cfRule>
  </conditionalFormatting>
  <conditionalFormatting sqref="C34:E110">
    <cfRule type="colorScale" priority="2">
      <colorScale>
        <cfvo type="num" val="0"/>
        <cfvo type="num" val="0.8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"/>
  <sheetViews>
    <sheetView showGridLines="0" workbookViewId="0">
      <selection sqref="A1:E1"/>
    </sheetView>
  </sheetViews>
  <sheetFormatPr defaultRowHeight="15" x14ac:dyDescent="0.25"/>
  <cols>
    <col min="1" max="1" width="24" customWidth="1"/>
    <col min="2" max="2" width="115" customWidth="1"/>
  </cols>
  <sheetData>
    <row r="1" spans="1:5" ht="21" customHeight="1" x14ac:dyDescent="0.35">
      <c r="A1" s="51" t="s">
        <v>2552</v>
      </c>
      <c r="B1" s="52"/>
      <c r="C1" s="52"/>
      <c r="D1" s="52"/>
      <c r="E1" s="52"/>
    </row>
    <row r="2" spans="1:5" x14ac:dyDescent="0.25">
      <c r="A2" s="38" t="s">
        <v>2553</v>
      </c>
      <c r="B2" s="38" t="s">
        <v>2492</v>
      </c>
      <c r="C2" s="38"/>
      <c r="D2" s="38"/>
      <c r="E2" s="38"/>
    </row>
    <row r="3" spans="1:5" x14ac:dyDescent="0.25">
      <c r="A3" s="1" t="s">
        <v>2554</v>
      </c>
      <c r="B3" s="1" t="s">
        <v>2555</v>
      </c>
      <c r="C3" s="1"/>
      <c r="D3" s="1"/>
      <c r="E3" s="1"/>
    </row>
    <row r="4" spans="1:5" x14ac:dyDescent="0.25">
      <c r="A4" s="1" t="s">
        <v>2556</v>
      </c>
      <c r="B4" s="1" t="s">
        <v>2557</v>
      </c>
      <c r="C4" s="1"/>
      <c r="D4" s="1"/>
      <c r="E4" s="1"/>
    </row>
    <row r="5" spans="1:5" x14ac:dyDescent="0.25">
      <c r="A5" s="1" t="s">
        <v>2558</v>
      </c>
      <c r="B5" s="1" t="s">
        <v>2559</v>
      </c>
      <c r="C5" s="1"/>
      <c r="D5" s="1"/>
      <c r="E5" s="1"/>
    </row>
    <row r="6" spans="1:5" x14ac:dyDescent="0.25">
      <c r="A6" s="1" t="s">
        <v>2560</v>
      </c>
      <c r="B6" s="1" t="s">
        <v>2561</v>
      </c>
      <c r="C6" s="1"/>
      <c r="D6" s="1"/>
      <c r="E6" s="1"/>
    </row>
    <row r="7" spans="1:5" x14ac:dyDescent="0.25">
      <c r="A7" s="1" t="s">
        <v>2562</v>
      </c>
      <c r="B7" s="1" t="s">
        <v>2563</v>
      </c>
      <c r="C7" s="1"/>
      <c r="D7" s="1"/>
      <c r="E7" s="1"/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"/>
  <sheetViews>
    <sheetView showGridLines="0" workbookViewId="0">
      <selection sqref="A1:D1"/>
    </sheetView>
  </sheetViews>
  <sheetFormatPr defaultRowHeight="15" x14ac:dyDescent="0.25"/>
  <cols>
    <col min="1" max="1" width="14" customWidth="1"/>
    <col min="2" max="2" width="38" customWidth="1"/>
    <col min="3" max="3" width="82" customWidth="1"/>
    <col min="4" max="4" width="62" customWidth="1"/>
  </cols>
  <sheetData>
    <row r="1" spans="1:4" ht="21" customHeight="1" x14ac:dyDescent="0.35">
      <c r="A1" s="51" t="s">
        <v>2564</v>
      </c>
      <c r="B1" s="52"/>
      <c r="C1" s="52"/>
      <c r="D1" s="52"/>
    </row>
    <row r="2" spans="1:4" x14ac:dyDescent="0.25">
      <c r="A2" s="38" t="s">
        <v>780</v>
      </c>
      <c r="B2" s="38" t="s">
        <v>2565</v>
      </c>
      <c r="C2" s="38" t="s">
        <v>2566</v>
      </c>
      <c r="D2" s="38" t="s">
        <v>2567</v>
      </c>
    </row>
    <row r="3" spans="1:4" x14ac:dyDescent="0.25">
      <c r="A3" s="1" t="s">
        <v>2568</v>
      </c>
      <c r="B3" s="1" t="s">
        <v>2569</v>
      </c>
      <c r="C3" s="1" t="s">
        <v>2570</v>
      </c>
      <c r="D3" s="1" t="s">
        <v>2571</v>
      </c>
    </row>
    <row r="4" spans="1:4" ht="30" customHeight="1" x14ac:dyDescent="0.25">
      <c r="A4" s="1" t="s">
        <v>2568</v>
      </c>
      <c r="B4" s="1" t="s">
        <v>2572</v>
      </c>
      <c r="C4" s="1" t="s">
        <v>2573</v>
      </c>
      <c r="D4" s="1" t="s">
        <v>2574</v>
      </c>
    </row>
    <row r="5" spans="1:4" x14ac:dyDescent="0.25">
      <c r="A5" s="1" t="s">
        <v>791</v>
      </c>
      <c r="B5" s="1" t="s">
        <v>2575</v>
      </c>
      <c r="C5" s="1" t="s">
        <v>2576</v>
      </c>
      <c r="D5" s="1" t="s">
        <v>2577</v>
      </c>
    </row>
    <row r="6" spans="1:4" x14ac:dyDescent="0.25">
      <c r="A6" s="1" t="s">
        <v>792</v>
      </c>
      <c r="B6" s="1" t="s">
        <v>2578</v>
      </c>
      <c r="C6" s="1" t="s">
        <v>2579</v>
      </c>
      <c r="D6" s="1" t="s">
        <v>2577</v>
      </c>
    </row>
    <row r="7" spans="1:4" x14ac:dyDescent="0.25">
      <c r="A7" s="1" t="s">
        <v>793</v>
      </c>
      <c r="B7" s="1" t="s">
        <v>2580</v>
      </c>
      <c r="C7" s="1" t="s">
        <v>2581</v>
      </c>
      <c r="D7" s="1" t="s">
        <v>2577</v>
      </c>
    </row>
    <row r="8" spans="1:4" x14ac:dyDescent="0.25">
      <c r="A8" t="s">
        <v>794</v>
      </c>
      <c r="B8" t="s">
        <v>2582</v>
      </c>
      <c r="C8" t="s">
        <v>2583</v>
      </c>
      <c r="D8" t="s">
        <v>2584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"/>
  <sheetViews>
    <sheetView showGridLines="0" workbookViewId="0">
      <selection sqref="A1:E1"/>
    </sheetView>
  </sheetViews>
  <sheetFormatPr defaultRowHeight="15" x14ac:dyDescent="0.25"/>
  <cols>
    <col min="1" max="1" width="28" customWidth="1"/>
    <col min="2" max="2" width="130" customWidth="1"/>
  </cols>
  <sheetData>
    <row r="1" spans="1:5" ht="21" customHeight="1" x14ac:dyDescent="0.35">
      <c r="A1" s="55" t="s">
        <v>2585</v>
      </c>
      <c r="B1" s="52"/>
      <c r="C1" s="52"/>
      <c r="D1" s="52"/>
      <c r="E1" s="52"/>
    </row>
    <row r="2" spans="1:5" x14ac:dyDescent="0.25">
      <c r="A2" s="40" t="s">
        <v>2586</v>
      </c>
      <c r="B2" s="40" t="s">
        <v>2587</v>
      </c>
      <c r="C2" s="40"/>
      <c r="D2" s="40"/>
      <c r="E2" s="40"/>
    </row>
    <row r="3" spans="1:5" ht="30" customHeight="1" x14ac:dyDescent="0.25">
      <c r="A3" s="47" t="s">
        <v>2588</v>
      </c>
      <c r="B3" s="47" t="s">
        <v>2589</v>
      </c>
    </row>
    <row r="4" spans="1:5" ht="30" customHeight="1" x14ac:dyDescent="0.25">
      <c r="A4" s="47" t="s">
        <v>2590</v>
      </c>
      <c r="B4" s="47" t="s">
        <v>2591</v>
      </c>
    </row>
    <row r="5" spans="1:5" ht="30" customHeight="1" x14ac:dyDescent="0.25">
      <c r="A5" s="47" t="s">
        <v>2592</v>
      </c>
      <c r="B5" s="47" t="s">
        <v>2593</v>
      </c>
    </row>
    <row r="6" spans="1:5" ht="30" customHeight="1" x14ac:dyDescent="0.25">
      <c r="A6" s="47" t="s">
        <v>2594</v>
      </c>
      <c r="B6" s="47" t="s">
        <v>2595</v>
      </c>
    </row>
    <row r="7" spans="1:5" ht="30" customHeight="1" x14ac:dyDescent="0.25">
      <c r="A7" s="47" t="s">
        <v>2596</v>
      </c>
      <c r="B7" s="47" t="s">
        <v>2597</v>
      </c>
    </row>
    <row r="8" spans="1:5" ht="30" customHeight="1" x14ac:dyDescent="0.25">
      <c r="A8" s="47" t="s">
        <v>2598</v>
      </c>
      <c r="B8" s="47" t="s">
        <v>2599</v>
      </c>
    </row>
    <row r="9" spans="1:5" ht="30" customHeight="1" x14ac:dyDescent="0.25">
      <c r="A9" s="47" t="s">
        <v>2600</v>
      </c>
      <c r="B9" s="47" t="s">
        <v>2601</v>
      </c>
    </row>
    <row r="10" spans="1:5" ht="30" customHeight="1" x14ac:dyDescent="0.25">
      <c r="A10" s="47" t="s">
        <v>2602</v>
      </c>
      <c r="B10" s="47" t="s">
        <v>2603</v>
      </c>
    </row>
  </sheetData>
  <mergeCells count="1">
    <mergeCell ref="A1:E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9096ad9-8b60-446a-90b7-017dbb9421a3}" enabled="1" method="Standard" siteId="{3d234255-e20f-4205-88a5-9658a40299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Premier League</vt:lpstr>
      <vt:lpstr>La Liga</vt:lpstr>
      <vt:lpstr>Serie A</vt:lpstr>
      <vt:lpstr>Ligue 1</vt:lpstr>
      <vt:lpstr>Bundesliga</vt:lpstr>
      <vt:lpstr>Position Tracking</vt:lpstr>
      <vt:lpstr>Methodology</vt:lpstr>
      <vt:lpstr>Sources</vt:lpstr>
      <vt:lpstr>Date Update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Argile, Daven</dc:creator>
  <cp:lastModifiedBy>Argile, Daven</cp:lastModifiedBy>
  <dcterms:created xsi:type="dcterms:W3CDTF">2026-07-28T11:13:24Z</dcterms:created>
  <dcterms:modified xsi:type="dcterms:W3CDTF">2026-07-30T15:58:19Z</dcterms:modified>
</cp:coreProperties>
</file>